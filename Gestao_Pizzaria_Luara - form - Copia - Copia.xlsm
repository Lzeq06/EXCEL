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faa5d86ad31129f/Documentos/PROJECTS/EXCEL/"/>
    </mc:Choice>
  </mc:AlternateContent>
  <xr:revisionPtr revIDLastSave="98" documentId="14_{5FFCC296-29B3-43E7-8994-E3E859384408}" xr6:coauthVersionLast="47" xr6:coauthVersionMax="47" xr10:uidLastSave="{5A95DF8B-CDCE-4DCE-AAF3-3FE37B69A714}"/>
  <bookViews>
    <workbookView xWindow="-120" yWindow="-120" windowWidth="29040" windowHeight="15720" activeTab="3" xr2:uid="{582F1D79-9A77-4446-BF7E-854F9D998118}"/>
  </bookViews>
  <sheets>
    <sheet name="Pedidos" sheetId="4" r:id="rId1"/>
    <sheet name="Estoque" sheetId="6" r:id="rId2"/>
    <sheet name="Pizzas" sheetId="2" r:id="rId3"/>
    <sheet name="FichaTecnica" sheetId="3" r:id="rId4"/>
    <sheet name="Dashboard" sheetId="11" r:id="rId5"/>
    <sheet name="Planilha1" sheetId="13" state="hidden" r:id="rId6"/>
    <sheet name="Planilha3" sheetId="12" state="hidden" r:id="rId7"/>
  </sheets>
  <definedNames>
    <definedName name="_xleta.FILTER" hidden="1" xlm="1">#NAME?</definedName>
    <definedName name="_xleta.IF" hidden="1" xlm="1">#NAME?</definedName>
    <definedName name="_xleta.N" hidden="1" xlm="1">#NAME?</definedName>
    <definedName name="_xleta.OR" hidden="1" xlm="1">#NAME?</definedName>
    <definedName name="_xleta.SUMIF" hidden="1" xlm="1">#NAME?</definedName>
    <definedName name="_xleta.SUMIFS" hidden="1" xlm="1">#NAME?</definedName>
    <definedName name="_xleta.SUMPRODUCT" hidden="1" xlm="1">#NAME?</definedName>
    <definedName name="_xleta.T" hidden="1" xlm="1">#NAME?</definedName>
    <definedName name="_xleta.VLOOKUP" hidden="1" xlm="1">#NAME?</definedName>
    <definedName name="_xleta.XLOOKUP" hidden="1" xlm="1">#NAME?</definedName>
    <definedName name="_xlnm.Print_Area" localSheetId="0">Pedidos!$V$5:$W$26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4" l="1"/>
  <c r="C31" i="4"/>
  <c r="G209" i="3"/>
  <c r="H209" i="3"/>
  <c r="C9" i="12"/>
  <c r="B2" i="12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5" i="3"/>
  <c r="M29" i="6"/>
  <c r="M28" i="6"/>
  <c r="M27" i="6"/>
  <c r="M26" i="6"/>
  <c r="M25" i="6"/>
  <c r="M24" i="6"/>
  <c r="M23" i="6"/>
  <c r="M30" i="6" s="1"/>
  <c r="M19" i="6"/>
  <c r="M18" i="6"/>
  <c r="M17" i="6"/>
  <c r="M16" i="6"/>
  <c r="M7" i="6"/>
  <c r="M5" i="6"/>
  <c r="L12" i="2"/>
  <c r="L11" i="2"/>
  <c r="L5" i="2"/>
  <c r="H60" i="3"/>
  <c r="H65" i="3"/>
  <c r="H69" i="3"/>
  <c r="H76" i="3"/>
  <c r="H84" i="3"/>
  <c r="H90" i="3"/>
  <c r="H95" i="3"/>
  <c r="H101" i="3"/>
  <c r="H107" i="3"/>
  <c r="H112" i="3"/>
  <c r="H118" i="3"/>
  <c r="H125" i="3"/>
  <c r="H131" i="3"/>
  <c r="H137" i="3"/>
  <c r="H144" i="3"/>
  <c r="H148" i="3"/>
  <c r="H150" i="3"/>
  <c r="H156" i="3"/>
  <c r="H162" i="3"/>
  <c r="H169" i="3"/>
  <c r="H177" i="3"/>
  <c r="H184" i="3"/>
  <c r="H190" i="3"/>
  <c r="H196" i="3"/>
  <c r="H203" i="3"/>
  <c r="L26" i="3"/>
  <c r="L25" i="3"/>
  <c r="L24" i="3"/>
  <c r="L23" i="3"/>
  <c r="L20" i="3"/>
  <c r="L19" i="3"/>
  <c r="L18" i="3"/>
  <c r="L17" i="3"/>
  <c r="L16" i="3"/>
  <c r="L6" i="3"/>
  <c r="G208" i="3"/>
  <c r="G207" i="3"/>
  <c r="G206" i="3"/>
  <c r="G205" i="3"/>
  <c r="G204" i="3"/>
  <c r="H207" i="3" s="1"/>
  <c r="G203" i="3"/>
  <c r="G202" i="3"/>
  <c r="G201" i="3"/>
  <c r="G200" i="3"/>
  <c r="H200" i="3" s="1"/>
  <c r="G199" i="3"/>
  <c r="G198" i="3"/>
  <c r="H202" i="3" s="1"/>
  <c r="G197" i="3"/>
  <c r="H199" i="3" s="1"/>
  <c r="G196" i="3"/>
  <c r="G195" i="3"/>
  <c r="G194" i="3"/>
  <c r="G193" i="3"/>
  <c r="G192" i="3"/>
  <c r="H192" i="3" s="1"/>
  <c r="G191" i="3"/>
  <c r="H191" i="3" s="1"/>
  <c r="G190" i="3"/>
  <c r="G189" i="3"/>
  <c r="G188" i="3"/>
  <c r="H188" i="3" s="1"/>
  <c r="G187" i="3"/>
  <c r="G186" i="3"/>
  <c r="H186" i="3" s="1"/>
  <c r="G185" i="3"/>
  <c r="H187" i="3" s="1"/>
  <c r="G184" i="3"/>
  <c r="G183" i="3"/>
  <c r="G182" i="3"/>
  <c r="G181" i="3"/>
  <c r="G180" i="3"/>
  <c r="G179" i="3"/>
  <c r="G178" i="3"/>
  <c r="H179" i="3" s="1"/>
  <c r="G177" i="3"/>
  <c r="G176" i="3"/>
  <c r="G175" i="3"/>
  <c r="G174" i="3"/>
  <c r="G173" i="3"/>
  <c r="G172" i="3"/>
  <c r="G171" i="3"/>
  <c r="G170" i="3"/>
  <c r="H171" i="3" s="1"/>
  <c r="G169" i="3"/>
  <c r="G168" i="3"/>
  <c r="G167" i="3"/>
  <c r="G166" i="3"/>
  <c r="G165" i="3"/>
  <c r="G164" i="3"/>
  <c r="H164" i="3" s="1"/>
  <c r="G163" i="3"/>
  <c r="H163" i="3" s="1"/>
  <c r="G162" i="3"/>
  <c r="G161" i="3"/>
  <c r="G160" i="3"/>
  <c r="G159" i="3"/>
  <c r="G158" i="3"/>
  <c r="H160" i="3" s="1"/>
  <c r="G157" i="3"/>
  <c r="H159" i="3" s="1"/>
  <c r="G156" i="3"/>
  <c r="G155" i="3"/>
  <c r="G154" i="3"/>
  <c r="G153" i="3"/>
  <c r="G152" i="3"/>
  <c r="H152" i="3" s="1"/>
  <c r="G151" i="3"/>
  <c r="H151" i="3" s="1"/>
  <c r="G150" i="3"/>
  <c r="G149" i="3"/>
  <c r="G148" i="3"/>
  <c r="G147" i="3"/>
  <c r="G146" i="3"/>
  <c r="G145" i="3"/>
  <c r="H147" i="3" s="1"/>
  <c r="G144" i="3"/>
  <c r="G143" i="3"/>
  <c r="G142" i="3"/>
  <c r="G141" i="3"/>
  <c r="G140" i="3"/>
  <c r="G139" i="3"/>
  <c r="G138" i="3"/>
  <c r="H139" i="3" s="1"/>
  <c r="G137" i="3"/>
  <c r="G136" i="3"/>
  <c r="G135" i="3"/>
  <c r="G134" i="3"/>
  <c r="G133" i="3"/>
  <c r="G132" i="3"/>
  <c r="H135" i="3" s="1"/>
  <c r="G131" i="3"/>
  <c r="G130" i="3"/>
  <c r="G129" i="3"/>
  <c r="G128" i="3"/>
  <c r="G127" i="3"/>
  <c r="G126" i="3"/>
  <c r="H127" i="3" s="1"/>
  <c r="G125" i="3"/>
  <c r="G124" i="3"/>
  <c r="G123" i="3"/>
  <c r="G122" i="3"/>
  <c r="G121" i="3"/>
  <c r="G120" i="3"/>
  <c r="H122" i="3" s="1"/>
  <c r="G119" i="3"/>
  <c r="H119" i="3" s="1"/>
  <c r="G118" i="3"/>
  <c r="G117" i="3"/>
  <c r="G116" i="3"/>
  <c r="G115" i="3"/>
  <c r="G114" i="3"/>
  <c r="G113" i="3"/>
  <c r="H115" i="3" s="1"/>
  <c r="G112" i="3"/>
  <c r="G111" i="3"/>
  <c r="G110" i="3"/>
  <c r="G109" i="3"/>
  <c r="G108" i="3"/>
  <c r="H111" i="3" s="1"/>
  <c r="G107" i="3"/>
  <c r="G106" i="3"/>
  <c r="G105" i="3"/>
  <c r="G104" i="3"/>
  <c r="G103" i="3"/>
  <c r="G102" i="3"/>
  <c r="H103" i="3" s="1"/>
  <c r="G101" i="3"/>
  <c r="G100" i="3"/>
  <c r="G99" i="3"/>
  <c r="G98" i="3"/>
  <c r="G97" i="3"/>
  <c r="G96" i="3"/>
  <c r="H99" i="3" s="1"/>
  <c r="G95" i="3"/>
  <c r="G94" i="3"/>
  <c r="G93" i="3"/>
  <c r="G92" i="3"/>
  <c r="H94" i="3" s="1"/>
  <c r="G91" i="3"/>
  <c r="H91" i="3" s="1"/>
  <c r="G90" i="3"/>
  <c r="G89" i="3"/>
  <c r="G88" i="3"/>
  <c r="G87" i="3"/>
  <c r="G86" i="3"/>
  <c r="G85" i="3"/>
  <c r="H87" i="3" s="1"/>
  <c r="G84" i="3"/>
  <c r="G83" i="3"/>
  <c r="G82" i="3"/>
  <c r="G81" i="3"/>
  <c r="G80" i="3"/>
  <c r="G79" i="3"/>
  <c r="G78" i="3"/>
  <c r="G77" i="3"/>
  <c r="H79" i="3" s="1"/>
  <c r="G76" i="3"/>
  <c r="G75" i="3"/>
  <c r="G74" i="3"/>
  <c r="G73" i="3"/>
  <c r="G72" i="3"/>
  <c r="G71" i="3"/>
  <c r="G70" i="3"/>
  <c r="H71" i="3" s="1"/>
  <c r="G69" i="3"/>
  <c r="G68" i="3"/>
  <c r="G67" i="3"/>
  <c r="G66" i="3"/>
  <c r="H67" i="3" s="1"/>
  <c r="G65" i="3"/>
  <c r="G64" i="3"/>
  <c r="G63" i="3"/>
  <c r="G62" i="3"/>
  <c r="G61" i="3"/>
  <c r="H63" i="3" s="1"/>
  <c r="G60" i="3"/>
  <c r="G59" i="3"/>
  <c r="G58" i="3"/>
  <c r="G57" i="3"/>
  <c r="G56" i="3"/>
  <c r="G55" i="3"/>
  <c r="G54" i="3"/>
  <c r="H55" i="3" s="1"/>
  <c r="G53" i="3"/>
  <c r="G52" i="3"/>
  <c r="G51" i="3"/>
  <c r="G50" i="3"/>
  <c r="G49" i="3"/>
  <c r="H51" i="3" s="1"/>
  <c r="G48" i="3"/>
  <c r="G47" i="3"/>
  <c r="G46" i="3"/>
  <c r="G45" i="3"/>
  <c r="G44" i="3"/>
  <c r="H47" i="3" s="1"/>
  <c r="G43" i="3"/>
  <c r="G42" i="3"/>
  <c r="G41" i="3"/>
  <c r="G40" i="3"/>
  <c r="G39" i="3"/>
  <c r="H39" i="3" s="1"/>
  <c r="G38" i="3"/>
  <c r="G37" i="3"/>
  <c r="G36" i="3"/>
  <c r="H36" i="3" s="1"/>
  <c r="G35" i="3"/>
  <c r="G34" i="3"/>
  <c r="G33" i="3"/>
  <c r="G32" i="3"/>
  <c r="H35" i="3" s="1"/>
  <c r="G31" i="3"/>
  <c r="G30" i="3"/>
  <c r="G29" i="3"/>
  <c r="G28" i="3"/>
  <c r="G27" i="3"/>
  <c r="H27" i="3" s="1"/>
  <c r="G26" i="3"/>
  <c r="G25" i="3"/>
  <c r="G24" i="3"/>
  <c r="G23" i="3"/>
  <c r="G22" i="3"/>
  <c r="G21" i="3"/>
  <c r="G20" i="3"/>
  <c r="H23" i="3" s="1"/>
  <c r="G19" i="3"/>
  <c r="G18" i="3"/>
  <c r="G17" i="3"/>
  <c r="G16" i="3"/>
  <c r="G15" i="3"/>
  <c r="G14" i="3"/>
  <c r="H15" i="3" s="1"/>
  <c r="G13" i="3"/>
  <c r="G12" i="3"/>
  <c r="G11" i="3"/>
  <c r="G10" i="3"/>
  <c r="G9" i="3"/>
  <c r="H11" i="3" s="1"/>
  <c r="G8" i="3"/>
  <c r="G7" i="3"/>
  <c r="G6" i="3"/>
  <c r="G5" i="3"/>
  <c r="L5" i="3" l="1"/>
  <c r="H198" i="3"/>
  <c r="H178" i="3"/>
  <c r="H170" i="3"/>
  <c r="H154" i="3"/>
  <c r="H142" i="3"/>
  <c r="H134" i="3"/>
  <c r="H126" i="3"/>
  <c r="H114" i="3"/>
  <c r="H106" i="3"/>
  <c r="H98" i="3"/>
  <c r="H86" i="3"/>
  <c r="H78" i="3"/>
  <c r="H70" i="3"/>
  <c r="H66" i="3"/>
  <c r="H58" i="3"/>
  <c r="H54" i="3"/>
  <c r="H50" i="3"/>
  <c r="H46" i="3"/>
  <c r="H42" i="3"/>
  <c r="H38" i="3"/>
  <c r="H34" i="3"/>
  <c r="H30" i="3"/>
  <c r="H26" i="3"/>
  <c r="H22" i="3"/>
  <c r="H18" i="3"/>
  <c r="H14" i="3"/>
  <c r="H10" i="3"/>
  <c r="H204" i="3"/>
  <c r="H206" i="3"/>
  <c r="H194" i="3"/>
  <c r="H182" i="3"/>
  <c r="H174" i="3"/>
  <c r="H166" i="3"/>
  <c r="H158" i="3"/>
  <c r="H146" i="3"/>
  <c r="H138" i="3"/>
  <c r="H130" i="3"/>
  <c r="H110" i="3"/>
  <c r="H102" i="3"/>
  <c r="H82" i="3"/>
  <c r="H74" i="3"/>
  <c r="H62" i="3"/>
  <c r="H6" i="3"/>
  <c r="H205" i="3"/>
  <c r="H201" i="3"/>
  <c r="H197" i="3"/>
  <c r="H193" i="3"/>
  <c r="H189" i="3"/>
  <c r="H185" i="3"/>
  <c r="H181" i="3"/>
  <c r="H173" i="3"/>
  <c r="H165" i="3"/>
  <c r="H161" i="3"/>
  <c r="H157" i="3"/>
  <c r="H153" i="3"/>
  <c r="H149" i="3"/>
  <c r="H145" i="3"/>
  <c r="H141" i="3"/>
  <c r="H133" i="3"/>
  <c r="H129" i="3"/>
  <c r="H121" i="3"/>
  <c r="H117" i="3"/>
  <c r="H113" i="3"/>
  <c r="H109" i="3"/>
  <c r="H105" i="3"/>
  <c r="H97" i="3"/>
  <c r="H93" i="3"/>
  <c r="H89" i="3"/>
  <c r="H85" i="3"/>
  <c r="H81" i="3"/>
  <c r="H77" i="3"/>
  <c r="H73" i="3"/>
  <c r="H61" i="3"/>
  <c r="H57" i="3"/>
  <c r="H53" i="3"/>
  <c r="H49" i="3"/>
  <c r="H45" i="3"/>
  <c r="H41" i="3"/>
  <c r="H37" i="3"/>
  <c r="H33" i="3"/>
  <c r="H29" i="3"/>
  <c r="H25" i="3"/>
  <c r="H21" i="3"/>
  <c r="H17" i="3"/>
  <c r="H13" i="3"/>
  <c r="H9" i="3"/>
  <c r="H140" i="3"/>
  <c r="H136" i="3"/>
  <c r="H132" i="3"/>
  <c r="H128" i="3"/>
  <c r="H124" i="3"/>
  <c r="H120" i="3"/>
  <c r="H116" i="3"/>
  <c r="H108" i="3"/>
  <c r="H104" i="3"/>
  <c r="H100" i="3"/>
  <c r="H96" i="3"/>
  <c r="H92" i="3"/>
  <c r="H88" i="3"/>
  <c r="H80" i="3"/>
  <c r="H72" i="3"/>
  <c r="H68" i="3"/>
  <c r="H64" i="3"/>
  <c r="H56" i="3"/>
  <c r="H52" i="3"/>
  <c r="H48" i="3"/>
  <c r="H44" i="3"/>
  <c r="H40" i="3"/>
  <c r="H32" i="3"/>
  <c r="H28" i="3"/>
  <c r="H24" i="3"/>
  <c r="H20" i="3"/>
  <c r="H16" i="3"/>
  <c r="H12" i="3"/>
  <c r="H208" i="3"/>
  <c r="H180" i="3"/>
  <c r="H176" i="3"/>
  <c r="H172" i="3"/>
  <c r="H168" i="3"/>
  <c r="H195" i="3"/>
  <c r="H183" i="3"/>
  <c r="H175" i="3"/>
  <c r="H167" i="3"/>
  <c r="H155" i="3"/>
  <c r="H143" i="3"/>
  <c r="H123" i="3"/>
  <c r="H83" i="3"/>
  <c r="H75" i="3"/>
  <c r="H59" i="3"/>
  <c r="H43" i="3"/>
  <c r="H31" i="3"/>
  <c r="H19" i="3"/>
  <c r="H8" i="3"/>
  <c r="H5" i="3"/>
  <c r="F5" i="2" s="1"/>
  <c r="H7" i="3"/>
  <c r="H210" i="3"/>
  <c r="H211" i="3"/>
  <c r="G211" i="3"/>
  <c r="G210" i="3"/>
  <c r="I16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5" i="6"/>
  <c r="I14" i="6"/>
  <c r="I13" i="6"/>
  <c r="I12" i="6"/>
  <c r="I11" i="6"/>
  <c r="I10" i="6"/>
  <c r="I9" i="6"/>
  <c r="I8" i="6"/>
  <c r="I7" i="6"/>
  <c r="I6" i="6"/>
  <c r="I5" i="6"/>
  <c r="C2" i="3"/>
  <c r="D2" i="2"/>
  <c r="E2" i="6"/>
  <c r="F2" i="4"/>
  <c r="W26" i="4"/>
  <c r="O6" i="4"/>
  <c r="O7" i="4"/>
  <c r="O8" i="4"/>
  <c r="O9" i="4"/>
  <c r="O10" i="4"/>
  <c r="O12" i="4"/>
  <c r="O13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5" i="4"/>
  <c r="R33" i="4"/>
  <c r="I5" i="4"/>
  <c r="I6" i="4"/>
  <c r="I7" i="4"/>
  <c r="I8" i="4"/>
  <c r="I9" i="4"/>
  <c r="I10" i="4"/>
  <c r="I11" i="4"/>
  <c r="I13" i="4"/>
  <c r="I15" i="4"/>
  <c r="I16" i="4"/>
  <c r="I17" i="4"/>
  <c r="I18" i="4"/>
  <c r="I19" i="4"/>
  <c r="I20" i="4"/>
  <c r="F17" i="12" s="1"/>
  <c r="F24" i="12" s="1"/>
  <c r="I21" i="4"/>
  <c r="I22" i="4"/>
  <c r="I23" i="4"/>
  <c r="I24" i="4"/>
  <c r="I25" i="4"/>
  <c r="I27" i="4"/>
  <c r="I28" i="4"/>
  <c r="I29" i="4"/>
  <c r="I30" i="4"/>
  <c r="I32" i="4"/>
  <c r="I33" i="4"/>
  <c r="I34" i="4"/>
  <c r="G35" i="4"/>
  <c r="R8" i="4"/>
  <c r="M11" i="6" l="1"/>
  <c r="M12" i="6"/>
  <c r="M10" i="6"/>
  <c r="F15" i="12"/>
  <c r="F22" i="12" s="1"/>
  <c r="L11" i="3"/>
  <c r="L7" i="3"/>
  <c r="L10" i="3"/>
  <c r="L12" i="3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W13" i="4" s="1"/>
  <c r="C26" i="4"/>
  <c r="C27" i="4"/>
  <c r="C28" i="4"/>
  <c r="C29" i="4"/>
  <c r="C30" i="4"/>
  <c r="H32" i="4"/>
  <c r="H33" i="4"/>
  <c r="H34" i="4"/>
  <c r="W10" i="4"/>
  <c r="W18" i="4"/>
  <c r="R31" i="4"/>
  <c r="R30" i="4"/>
  <c r="R29" i="4"/>
  <c r="R28" i="4"/>
  <c r="R27" i="4"/>
  <c r="R26" i="4"/>
  <c r="R18" i="4"/>
  <c r="R11" i="4"/>
  <c r="R10" i="4"/>
  <c r="R9" i="4"/>
  <c r="R6" i="4"/>
  <c r="R5" i="4"/>
  <c r="F40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5" i="6"/>
  <c r="M6" i="6" s="1"/>
  <c r="W11" i="4" l="1"/>
  <c r="W23" i="4"/>
  <c r="W12" i="4"/>
  <c r="W24" i="4"/>
  <c r="W17" i="4"/>
  <c r="F37" i="2"/>
  <c r="F18" i="2"/>
  <c r="F33" i="2"/>
  <c r="F25" i="2"/>
  <c r="F20" i="2"/>
  <c r="F35" i="2"/>
  <c r="F24" i="2"/>
  <c r="F17" i="2"/>
  <c r="F30" i="2"/>
  <c r="F26" i="2"/>
  <c r="F21" i="2"/>
  <c r="F31" i="2"/>
  <c r="F19" i="2"/>
  <c r="F32" i="2"/>
  <c r="F34" i="2"/>
  <c r="F29" i="2"/>
  <c r="F27" i="2"/>
  <c r="F23" i="2"/>
  <c r="F16" i="2"/>
  <c r="F15" i="2"/>
  <c r="F39" i="2"/>
  <c r="F38" i="2"/>
  <c r="F36" i="2"/>
  <c r="F28" i="2"/>
  <c r="F22" i="2"/>
  <c r="F13" i="2"/>
  <c r="F11" i="2"/>
  <c r="F10" i="2"/>
  <c r="F8" i="2"/>
  <c r="F14" i="2"/>
  <c r="F7" i="2"/>
  <c r="F12" i="2"/>
  <c r="F9" i="2"/>
  <c r="F6" i="2"/>
  <c r="G9" i="2" l="1"/>
  <c r="H9" i="2" s="1"/>
  <c r="G7" i="2"/>
  <c r="H7" i="2" s="1"/>
  <c r="G11" i="2"/>
  <c r="H11" i="2" s="1"/>
  <c r="G36" i="2"/>
  <c r="H36" i="2" s="1"/>
  <c r="G16" i="2"/>
  <c r="H16" i="2" s="1"/>
  <c r="G34" i="2"/>
  <c r="H34" i="2" s="1"/>
  <c r="G21" i="2"/>
  <c r="H21" i="2" s="1"/>
  <c r="G24" i="2"/>
  <c r="H24" i="2" s="1"/>
  <c r="G33" i="2"/>
  <c r="H33" i="2" s="1"/>
  <c r="G12" i="2"/>
  <c r="H12" i="2" s="1"/>
  <c r="G6" i="2"/>
  <c r="H6" i="2" s="1"/>
  <c r="G14" i="2"/>
  <c r="H14" i="2" s="1"/>
  <c r="G13" i="2"/>
  <c r="H13" i="2" s="1"/>
  <c r="G38" i="2"/>
  <c r="H38" i="2" s="1"/>
  <c r="G23" i="2"/>
  <c r="H23" i="2" s="1"/>
  <c r="G32" i="2"/>
  <c r="H32" i="2" s="1"/>
  <c r="G26" i="2"/>
  <c r="H26" i="2" s="1"/>
  <c r="G35" i="2"/>
  <c r="H35" i="2" s="1"/>
  <c r="G18" i="2"/>
  <c r="H18" i="2" s="1"/>
  <c r="G22" i="2"/>
  <c r="H22" i="2" s="1"/>
  <c r="G39" i="2"/>
  <c r="H39" i="2" s="1"/>
  <c r="G27" i="2"/>
  <c r="H27" i="2" s="1"/>
  <c r="G19" i="2"/>
  <c r="H19" i="2" s="1"/>
  <c r="G30" i="2"/>
  <c r="H30" i="2" s="1"/>
  <c r="G20" i="2"/>
  <c r="H20" i="2" s="1"/>
  <c r="G37" i="2"/>
  <c r="H37" i="2" s="1"/>
  <c r="G8" i="2"/>
  <c r="H8" i="2" s="1"/>
  <c r="G15" i="2"/>
  <c r="H15" i="2" s="1"/>
  <c r="G29" i="2"/>
  <c r="H29" i="2" s="1"/>
  <c r="G31" i="2"/>
  <c r="H31" i="2" s="1"/>
  <c r="G17" i="2"/>
  <c r="H17" i="2" s="1"/>
  <c r="G25" i="2"/>
  <c r="H25" i="2" s="1"/>
  <c r="G28" i="2"/>
  <c r="H28" i="2" s="1"/>
  <c r="H31" i="4"/>
  <c r="I31" i="4" s="1"/>
  <c r="B14" i="12" s="1"/>
  <c r="B19" i="12" s="1"/>
  <c r="H26" i="4"/>
  <c r="H14" i="4"/>
  <c r="O14" i="4" s="1"/>
  <c r="R34" i="4" s="1"/>
  <c r="H12" i="4"/>
  <c r="I12" i="4" s="1"/>
  <c r="G10" i="2"/>
  <c r="H10" i="2" s="1"/>
  <c r="F13" i="12" l="1"/>
  <c r="G5" i="2"/>
  <c r="H5" i="2" s="1"/>
  <c r="L24" i="2"/>
  <c r="L25" i="2"/>
  <c r="L6" i="2"/>
  <c r="R22" i="4"/>
  <c r="I14" i="4"/>
  <c r="F14" i="12" s="1"/>
  <c r="F21" i="12" s="1"/>
  <c r="I26" i="4"/>
  <c r="W19" i="4"/>
  <c r="R16" i="4"/>
  <c r="R15" i="4"/>
  <c r="W22" i="4"/>
  <c r="L8" i="2" l="1"/>
  <c r="L17" i="2"/>
  <c r="L7" i="2"/>
  <c r="B15" i="12"/>
  <c r="B20" i="12" s="1"/>
  <c r="F16" i="12"/>
  <c r="F23" i="12" s="1"/>
  <c r="C5" i="12"/>
  <c r="B13" i="12"/>
  <c r="F20" i="12"/>
  <c r="C8" i="12"/>
  <c r="J19" i="2"/>
  <c r="J17" i="2"/>
  <c r="L20" i="2"/>
  <c r="L18" i="2"/>
  <c r="L16" i="2"/>
  <c r="J20" i="2"/>
  <c r="J18" i="2"/>
  <c r="J16" i="2"/>
  <c r="L19" i="2"/>
  <c r="R14" i="4"/>
  <c r="R21" i="4"/>
  <c r="I35" i="4"/>
  <c r="R7" i="4"/>
  <c r="R23" i="4"/>
  <c r="R17" i="4"/>
  <c r="G13" i="12" l="1"/>
  <c r="G16" i="12"/>
  <c r="G14" i="12"/>
  <c r="F18" i="12"/>
  <c r="C6" i="12" a="1"/>
  <c r="C6" i="12" s="1"/>
  <c r="C7" i="12" s="1"/>
  <c r="G15" i="12"/>
  <c r="G17" i="12"/>
  <c r="B16" i="12"/>
  <c r="B18" i="12"/>
  <c r="C15" i="12"/>
  <c r="C14" i="12"/>
  <c r="C13" i="12"/>
  <c r="C16" i="12" l="1"/>
  <c r="G18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<sst xmlns="http://schemas.openxmlformats.org/spreadsheetml/2006/main" count="1049" uniqueCount="395">
  <si>
    <t>ID</t>
  </si>
  <si>
    <t>Ingrediente</t>
  </si>
  <si>
    <t>Quantidade</t>
  </si>
  <si>
    <t>Custo Unitário</t>
  </si>
  <si>
    <t>Custo Total</t>
  </si>
  <si>
    <t>Estoque Mínimo</t>
  </si>
  <si>
    <t>Fornecedor</t>
  </si>
  <si>
    <t>Unidade</t>
  </si>
  <si>
    <t>g</t>
  </si>
  <si>
    <t>Massa de Pizza</t>
  </si>
  <si>
    <t>kg</t>
  </si>
  <si>
    <t>Fornecedor Massa</t>
  </si>
  <si>
    <t>L</t>
  </si>
  <si>
    <t>Laticínios Premium</t>
  </si>
  <si>
    <t>un</t>
  </si>
  <si>
    <t>Molho de Tomate</t>
  </si>
  <si>
    <t>Tomate &amp; Cia</t>
  </si>
  <si>
    <t>Queijo Mussarela</t>
  </si>
  <si>
    <t>Pepperoni</t>
  </si>
  <si>
    <t>Carnes Nobres</t>
  </si>
  <si>
    <t>Presunto</t>
  </si>
  <si>
    <t>Frios Select</t>
  </si>
  <si>
    <t>Calabresa</t>
  </si>
  <si>
    <t>Cebola</t>
  </si>
  <si>
    <t>Hortifruti</t>
  </si>
  <si>
    <t>Tomate</t>
  </si>
  <si>
    <t>Orégano</t>
  </si>
  <si>
    <t>Temperos Finos</t>
  </si>
  <si>
    <t>Azeitona Verde</t>
  </si>
  <si>
    <t>Conservas</t>
  </si>
  <si>
    <t>Milho Verde</t>
  </si>
  <si>
    <t>Catupiry</t>
  </si>
  <si>
    <t>Chocolate</t>
  </si>
  <si>
    <t>Doces &amp; Cia</t>
  </si>
  <si>
    <t>Banana</t>
  </si>
  <si>
    <t>Coco Ralado</t>
  </si>
  <si>
    <t>Óleo de Soja</t>
  </si>
  <si>
    <t>Óleos &amp; Gorduras</t>
  </si>
  <si>
    <t>Farinha de Trigo</t>
  </si>
  <si>
    <t>Farinhas Premium</t>
  </si>
  <si>
    <t>Fermento Biológico</t>
  </si>
  <si>
    <t>Ingredientes Secos</t>
  </si>
  <si>
    <t>Sal</t>
  </si>
  <si>
    <t>Açúcar</t>
  </si>
  <si>
    <t>Status</t>
  </si>
  <si>
    <t>Data</t>
  </si>
  <si>
    <t>Pizza</t>
  </si>
  <si>
    <t>Nome</t>
  </si>
  <si>
    <t>Tamanho</t>
  </si>
  <si>
    <t>Descrição</t>
  </si>
  <si>
    <t>Margem Lucro %</t>
  </si>
  <si>
    <t>Média</t>
  </si>
  <si>
    <t>Grande</t>
  </si>
  <si>
    <t>Portuguesa</t>
  </si>
  <si>
    <t>Frango com Catupiry</t>
  </si>
  <si>
    <t>Chocolate com Banana</t>
  </si>
  <si>
    <t>Romeu e Julieta</t>
  </si>
  <si>
    <t>Nome Pizza</t>
  </si>
  <si>
    <t>Preço Venda</t>
  </si>
  <si>
    <t>Lucro Líquido (R$)</t>
  </si>
  <si>
    <t>Lucro %</t>
  </si>
  <si>
    <t>Mussarela Extra</t>
  </si>
  <si>
    <t>Presunto Parma</t>
  </si>
  <si>
    <t>Frios Nobres</t>
  </si>
  <si>
    <t>Lombo Canadense</t>
  </si>
  <si>
    <t>Carnes Select</t>
  </si>
  <si>
    <t>Atum em Lata</t>
  </si>
  <si>
    <t>Bacon em Cubos</t>
  </si>
  <si>
    <t>Ervilha</t>
  </si>
  <si>
    <t>Ovo Cozido</t>
  </si>
  <si>
    <t>Granja</t>
  </si>
  <si>
    <t>Pimentão Vermelho</t>
  </si>
  <si>
    <t>Abacaxi em Lata</t>
  </si>
  <si>
    <t>Brigadeiro Pronto</t>
  </si>
  <si>
    <t>Morango Fresco</t>
  </si>
  <si>
    <t>Creme de Avelã</t>
  </si>
  <si>
    <t>Doces Finos</t>
  </si>
  <si>
    <t>Goiabada Cascão</t>
  </si>
  <si>
    <t>Chocolate Granulado</t>
  </si>
  <si>
    <t>Canela em Pó</t>
  </si>
  <si>
    <t>Vegetariana</t>
  </si>
  <si>
    <t>Havaiana</t>
  </si>
  <si>
    <t>Atum com Cebola</t>
  </si>
  <si>
    <t>Bacon com Ovo</t>
  </si>
  <si>
    <t>Quatro Estações</t>
  </si>
  <si>
    <t>Brigadeiro com Morango</t>
  </si>
  <si>
    <t>Calabresa com Bacon</t>
  </si>
  <si>
    <t>Mussarela Clássica</t>
  </si>
  <si>
    <t>Chocolate com Canela</t>
  </si>
  <si>
    <t>Três Queijos</t>
  </si>
  <si>
    <t>Doce de Leite com Banana</t>
  </si>
  <si>
    <t>Mussarela derretida, Molho de Tomate e Orégano</t>
  </si>
  <si>
    <t>Pepperoni crocante, Queijo Mussarela e Orégano</t>
  </si>
  <si>
    <t>Calabresa defumada, Cebola e Queijo Mussarela</t>
  </si>
  <si>
    <t>Presunto, Ovo Cozido, Cebola, Azeitona Verde e Queijo Mussarela</t>
  </si>
  <si>
    <t>Catupiry e Milho Verde</t>
  </si>
  <si>
    <t>Chocolate, Banana e Coco Ralado</t>
  </si>
  <si>
    <t>Goiabada Cascão, Queijo Mussarela e Coco Ralado</t>
  </si>
  <si>
    <t>Lombo Canadense, Queijo Mussarela e Cebola</t>
  </si>
  <si>
    <t>Atum em Lata, Cebola e Queijo Mussarela</t>
  </si>
  <si>
    <t>Bacon em Cubos, Ovo Cozido e Queijo Mussarela</t>
  </si>
  <si>
    <t>Presunto, Milho Verde, Azeitona Verde e Queijo Mussarela</t>
  </si>
  <si>
    <t>Brigadeiro Pronto, Morango Fresco e Coco Ralado</t>
  </si>
  <si>
    <t>Chocolate e Canela em Pó</t>
  </si>
  <si>
    <t>Calabresa, Bacon em Cubos e Cebola</t>
  </si>
  <si>
    <t>Tomate, Cebola, Pimentão Vermelho, Azeitona Verde e Queijo Mussarela</t>
  </si>
  <si>
    <t>Presunto, Abacaxi em Lata e Queijo Mussarela</t>
  </si>
  <si>
    <t>Mussarela Extra e Orégano</t>
  </si>
  <si>
    <t>Presunto Parma e Queijo Mussarela</t>
  </si>
  <si>
    <t>Doce de leite, Banana e Coco Ralado</t>
  </si>
  <si>
    <t>Quantidade Usada</t>
  </si>
  <si>
    <t>Subtotal</t>
  </si>
  <si>
    <t>Custo Parcial</t>
  </si>
  <si>
    <t>Custo Total da Pizza</t>
  </si>
  <si>
    <t>Margherita Especial</t>
  </si>
  <si>
    <t>Mussarela Extra, Molho de Tomate, Orégano e Azeitona Verde</t>
  </si>
  <si>
    <t>Calabresa com Catupiry</t>
  </si>
  <si>
    <t>Calabresa, Catupiry, Cebola e Queijo Mussarela</t>
  </si>
  <si>
    <t>Presunto com Milho</t>
  </si>
  <si>
    <t>Presunto, Milho Verde, Queijo Mussarela e Orégano</t>
  </si>
  <si>
    <t>Atum com Azeitona</t>
  </si>
  <si>
    <t>Atum em Lata, Azeitona Verde, Cebola e Queijo Mussarela</t>
  </si>
  <si>
    <t>Bacon com Pimentão</t>
  </si>
  <si>
    <t>Bacon em Cubos, Pimentão Vermelho, Queijo Mussarela e Cebola</t>
  </si>
  <si>
    <t>Quatro Queijos Simples</t>
  </si>
  <si>
    <t>Queijo Mussarela, Catupiry, Mussarela Extra e Orégano</t>
  </si>
  <si>
    <t>Romeu e Julieta Especial</t>
  </si>
  <si>
    <t>Goiabada Cascão, Queijo Mussarela, Coco Ralado e Canela em Pó</t>
  </si>
  <si>
    <t>Chocolate com Morango</t>
  </si>
  <si>
    <t>Chocolate, Morango Fresco, Coco Ralado e Brigadeiro Pronto</t>
  </si>
  <si>
    <t>Havaiana com Bacon</t>
  </si>
  <si>
    <t>Presunto, Abacaxi em Lata, Bacon em Cubos e Queijo Mussarela</t>
  </si>
  <si>
    <t>Vegetariana Suprema</t>
  </si>
  <si>
    <t>Lombo com Catupiry</t>
  </si>
  <si>
    <t>Lombo Canadense, Catupiry, Cebola e Queijo Mussarela</t>
  </si>
  <si>
    <t>Três Queijos com Pepperoni</t>
  </si>
  <si>
    <t>Queijo Mussarela, Pepperoni, Mussarela Extra e Orégano</t>
  </si>
  <si>
    <t>Doce de Leite com Chocolate</t>
  </si>
  <si>
    <t>Doce de leite, Chocolate, Banana e Coco Ralado</t>
  </si>
  <si>
    <t>Presunto Parma Especial</t>
  </si>
  <si>
    <t>Presunto Parma, Queijo Mussarela, Orégano e Azeitona Verde</t>
  </si>
  <si>
    <t>Brigadeiro com Banana</t>
  </si>
  <si>
    <t>Brigadeiro Pronto, Banana, Chocolate Granulado e Coco Ralado</t>
  </si>
  <si>
    <t>Doce de leite</t>
  </si>
  <si>
    <t>Doce de Leite</t>
  </si>
  <si>
    <t>🍕 SISTEMA DE PEDIDOS - PIZZARIA</t>
  </si>
  <si>
    <t>Qtd</t>
  </si>
  <si>
    <t>Preço Unit.</t>
  </si>
  <si>
    <t>Cliente</t>
  </si>
  <si>
    <t>Telefone</t>
  </si>
  <si>
    <t>Status Pgto</t>
  </si>
  <si>
    <t>Tipo Pgto</t>
  </si>
  <si>
    <t>Entrega</t>
  </si>
  <si>
    <t>Status Pedido</t>
  </si>
  <si>
    <t>Observações</t>
  </si>
  <si>
    <t>Total de Pedidos:</t>
  </si>
  <si>
    <t>Pizzas Vendidas:</t>
  </si>
  <si>
    <t>Faturamento Total:</t>
  </si>
  <si>
    <t>✅ Pedidos Pagos:</t>
  </si>
  <si>
    <t>⏳ Pedidos Pendentes:</t>
  </si>
  <si>
    <t>⚠️ Pedidos Parciais:</t>
  </si>
  <si>
    <t>💳 POR TIPO DE PAGAMENTO</t>
  </si>
  <si>
    <t>💵 Dinheiro:</t>
  </si>
  <si>
    <t>📱 PIX:</t>
  </si>
  <si>
    <t>💳 Cartão Débito:</t>
  </si>
  <si>
    <t>💳 Cartão Crédito:</t>
  </si>
  <si>
    <t>🎫 Vale Refeição:</t>
  </si>
  <si>
    <t>🚗 POR TIPO DE ENTREGA</t>
  </si>
  <si>
    <t>🏍️ Delivery:</t>
  </si>
  <si>
    <t>🏃 Retirada:</t>
  </si>
  <si>
    <t>🍽️ Mesa:</t>
  </si>
  <si>
    <t>📋 STATUS DOS PEDIDOS</t>
  </si>
  <si>
    <t>📥 Recebido:</t>
  </si>
  <si>
    <t>👨‍🍳 Em Preparo:</t>
  </si>
  <si>
    <t>✅ Pronto:</t>
  </si>
  <si>
    <t>🚗 Saiu Entrega:</t>
  </si>
  <si>
    <t>📦 Entregue:</t>
  </si>
  <si>
    <t>❌ Cancelado:</t>
  </si>
  <si>
    <t>João Silva</t>
  </si>
  <si>
    <t>(11) 99999-1234</t>
  </si>
  <si>
    <t>Pago</t>
  </si>
  <si>
    <t>PIX</t>
  </si>
  <si>
    <t>Delivery</t>
  </si>
  <si>
    <t>Entregue</t>
  </si>
  <si>
    <t>Sem cebola</t>
  </si>
  <si>
    <t>Maria Souza</t>
  </si>
  <si>
    <t>(11) 98888-5678</t>
  </si>
  <si>
    <t>Cartão Crédito</t>
  </si>
  <si>
    <t>Mesa</t>
  </si>
  <si>
    <t>Pedro Santos</t>
  </si>
  <si>
    <t>(11) 97777-9012</t>
  </si>
  <si>
    <t>Pendente</t>
  </si>
  <si>
    <t>Dinheiro</t>
  </si>
  <si>
    <t>Em Preparo</t>
  </si>
  <si>
    <t>Retirada</t>
  </si>
  <si>
    <t>Pronto</t>
  </si>
  <si>
    <t>Parcial</t>
  </si>
  <si>
    <t>Cartão Débito</t>
  </si>
  <si>
    <t>Saiu Entrega</t>
  </si>
  <si>
    <t xml:space="preserve">Nº </t>
  </si>
  <si>
    <t>⚠️ ALERTAS DE ESTOQUE</t>
  </si>
  <si>
    <t>Valor</t>
  </si>
  <si>
    <t>🍕 Pizzaria Bella Napoli</t>
  </si>
  <si>
    <t>Telefone:</t>
  </si>
  <si>
    <t>Data:</t>
  </si>
  <si>
    <t>Cliente:</t>
  </si>
  <si>
    <t>Pizza:</t>
  </si>
  <si>
    <t>Quantidade:</t>
  </si>
  <si>
    <t>Preço Unit.:</t>
  </si>
  <si>
    <t>Pagamento:</t>
  </si>
  <si>
    <t>Entrega:</t>
  </si>
  <si>
    <t>Observações:</t>
  </si>
  <si>
    <t>Nº Pedido:</t>
  </si>
  <si>
    <t>ITENS DO PEDIDO:</t>
  </si>
  <si>
    <t>TOTAL:</t>
  </si>
  <si>
    <t>Vale Refeição</t>
  </si>
  <si>
    <t>Hora</t>
  </si>
  <si>
    <t>------------------------------------------------</t>
  </si>
  <si>
    <t>Carlos Oliveira</t>
  </si>
  <si>
    <t>(11) 99123-4567</t>
  </si>
  <si>
    <t>Fernanda Lima</t>
  </si>
  <si>
    <t>(11) 98234-5678</t>
  </si>
  <si>
    <t>Bem assada</t>
  </si>
  <si>
    <t>Ricardo Alves</t>
  </si>
  <si>
    <t>(11) 97345-6789</t>
  </si>
  <si>
    <t>Pouco orégano</t>
  </si>
  <si>
    <t>Juliana Mendes</t>
  </si>
  <si>
    <t>(11) 96456-7890</t>
  </si>
  <si>
    <t>Com borda recheada</t>
  </si>
  <si>
    <t>Bruno Ferreira</t>
  </si>
  <si>
    <t>(11) 95567-8901</t>
  </si>
  <si>
    <t>Sem azeitona</t>
  </si>
  <si>
    <t>Patricia Rocha</t>
  </si>
  <si>
    <t>(11) 94678-9012</t>
  </si>
  <si>
    <t>Lucas Martins</t>
  </si>
  <si>
    <t>(11) 93789-0123</t>
  </si>
  <si>
    <t>Caprichar no recheio</t>
  </si>
  <si>
    <t>Amanda Santos</t>
  </si>
  <si>
    <t>(11) 92890-1234</t>
  </si>
  <si>
    <t>Entregar no portão</t>
  </si>
  <si>
    <t>Gustavo Costa</t>
  </si>
  <si>
    <t>(11) 91901-2345</t>
  </si>
  <si>
    <t>Cliente VIP</t>
  </si>
  <si>
    <t>Beatriz Souza</t>
  </si>
  <si>
    <t>(11) 99012-3456</t>
  </si>
  <si>
    <t>Pedido urgente</t>
  </si>
  <si>
    <t>Rafael Pereira</t>
  </si>
  <si>
    <t>(11) 98765-4321</t>
  </si>
  <si>
    <t>Massa fina</t>
  </si>
  <si>
    <t>Camila Nascimento</t>
  </si>
  <si>
    <t>(11) 97654-3210</t>
  </si>
  <si>
    <t>Diego Ribeiro</t>
  </si>
  <si>
    <t>(11) 96543-2109</t>
  </si>
  <si>
    <t>Sem pimenta</t>
  </si>
  <si>
    <t>Larissa Carvalho</t>
  </si>
  <si>
    <t>(11) 95432-1098</t>
  </si>
  <si>
    <t>Para festa</t>
  </si>
  <si>
    <t>Thiago Gomes</t>
  </si>
  <si>
    <t>(11) 94321-0987</t>
  </si>
  <si>
    <t>Ligar antes de entregar</t>
  </si>
  <si>
    <t>Vanessa Barbosa</t>
  </si>
  <si>
    <t>(11) 93210-9876</t>
  </si>
  <si>
    <t>Apartamento 301</t>
  </si>
  <si>
    <t>Felipe Araújo</t>
  </si>
  <si>
    <t>(11) 92109-8765</t>
  </si>
  <si>
    <t>Casa verde</t>
  </si>
  <si>
    <t>Mariana Castro</t>
  </si>
  <si>
    <t>(11) 91098-7654</t>
  </si>
  <si>
    <t>Próximo ao mercado</t>
  </si>
  <si>
    <t>André Dias</t>
  </si>
  <si>
    <t>(11) 99876-5432</t>
  </si>
  <si>
    <t>Isabela Moreira</t>
  </si>
  <si>
    <t>(11) 98654-3219</t>
  </si>
  <si>
    <t>Eduardo Silva</t>
  </si>
  <si>
    <t>(11) 97543-2108</t>
  </si>
  <si>
    <t>Natália Teixeira</t>
  </si>
  <si>
    <t>(11) 96432-1097</t>
  </si>
  <si>
    <t>Rodrigo Cardoso</t>
  </si>
  <si>
    <t>(11) 95321-0986</t>
  </si>
  <si>
    <t>📊 RESUMO GERAL</t>
  </si>
  <si>
    <t>📅 Período:</t>
  </si>
  <si>
    <t>Hora:</t>
  </si>
  <si>
    <t xml:space="preserve">Alfred Alfredo </t>
  </si>
  <si>
    <t>(11)96583-1568</t>
  </si>
  <si>
    <t>🎂 Desc. Aniversário:</t>
  </si>
  <si>
    <t>💰 Total Descontos:</t>
  </si>
  <si>
    <t xml:space="preserve">Aniversariante </t>
  </si>
  <si>
    <t>Desconto 🎂 (10%)</t>
  </si>
  <si>
    <t>📦 CONTROLE DE ESTOQUE - PIZZARIA</t>
  </si>
  <si>
    <t>📊 RESUMO DO ESTOQUE</t>
  </si>
  <si>
    <t>📦 Total de Itens:</t>
  </si>
  <si>
    <t>💰 Valor Total Estoque:</t>
  </si>
  <si>
    <t>📈 Custo Médio/Item:</t>
  </si>
  <si>
    <t>🏢 TOP FORNECEDORES</t>
  </si>
  <si>
    <t>📋 VALOR POR CATEGORIA</t>
  </si>
  <si>
    <t>🍕 CARDÁPIO DE PIZZAS - PIZZARIA</t>
  </si>
  <si>
    <t>📊 RESUMO DO CARDÁPIO</t>
  </si>
  <si>
    <t>🍕 Total de Pizzas:</t>
  </si>
  <si>
    <t>💰 Preço Médio:</t>
  </si>
  <si>
    <t>📈 Lucro Médio:</t>
  </si>
  <si>
    <t>📊 Margem Média:</t>
  </si>
  <si>
    <t>📏 POR TAMANHO</t>
  </si>
  <si>
    <t>🏆 TOP 5 MAIS LUCRATIVAS</t>
  </si>
  <si>
    <t>💵 FAIXA DE PREÇOS</t>
  </si>
  <si>
    <t>📉 Menor Preço:</t>
  </si>
  <si>
    <t>📈 Maior Preço:</t>
  </si>
  <si>
    <t>📋 FICHA TÉCNICA - RECEITAS DAS PIZZAS</t>
  </si>
  <si>
    <t>📊 RESUMO FICHA TÉCNICA</t>
  </si>
  <si>
    <t>📋 Total de Receitas:</t>
  </si>
  <si>
    <t>🥫 Total Ingredientes:</t>
  </si>
  <si>
    <t>💰 Custo Médio/Pizza:</t>
  </si>
  <si>
    <t>💵 ANÁLISE DE CUSTOS</t>
  </si>
  <si>
    <t>📉 Menor Custo:</t>
  </si>
  <si>
    <t>📈 Maior Custo:</t>
  </si>
  <si>
    <t>📊 Custo Total:</t>
  </si>
  <si>
    <t>🥫 TOP INGREDIENTES USADOS</t>
  </si>
  <si>
    <t>📏 POR UNIDADE DE MEDIDA</t>
  </si>
  <si>
    <t>📦 Unidades (un):</t>
  </si>
  <si>
    <t>⚖️ Quilos (kg):</t>
  </si>
  <si>
    <t>🥛 Litros (L):</t>
  </si>
  <si>
    <t>📏 Gramas (g):</t>
  </si>
  <si>
    <t>Qtd Itens</t>
  </si>
  <si>
    <t>Categoria</t>
  </si>
  <si>
    <t>Uso</t>
  </si>
  <si>
    <t>🥩 Carnes</t>
  </si>
  <si>
    <t>🧀 Laticínios</t>
  </si>
  <si>
    <t>🍫 Doces</t>
  </si>
  <si>
    <t>🥬 Hortifruti</t>
  </si>
  <si>
    <t>📦 Conservas</t>
  </si>
  <si>
    <t>🧂 Temperos</t>
  </si>
  <si>
    <t>🌾 Farinhas/Secos</t>
  </si>
  <si>
    <t>📊 TOTAL:</t>
  </si>
  <si>
    <t xml:space="preserve"> Estoque Crítico:</t>
  </si>
  <si>
    <t>Estoque Baixo:</t>
  </si>
  <si>
    <t>Estoque OK:</t>
  </si>
  <si>
    <t xml:space="preserve"> Média:</t>
  </si>
  <si>
    <t xml:space="preserve"> Grande:</t>
  </si>
  <si>
    <t/>
  </si>
  <si>
    <t>📊 MÉTRICAS FINANCEIRAS - PIZZARIA</t>
  </si>
  <si>
    <t>MÉTRICA</t>
  </si>
  <si>
    <t>DESCRIÇÃO</t>
  </si>
  <si>
    <t>VALOR</t>
  </si>
  <si>
    <t>💰 Faturamento Total</t>
  </si>
  <si>
    <t>Quanto entrou de dinheiro no total</t>
  </si>
  <si>
    <t>📈 Lucro Estimado</t>
  </si>
  <si>
    <t>Quanto sobrou depois de pagar ingredientes</t>
  </si>
  <si>
    <t>📊 Margem de Lucro</t>
  </si>
  <si>
    <t>% de lucro em relação às vendas</t>
  </si>
  <si>
    <t>🎫 Ticket Médio</t>
  </si>
  <si>
    <t>Gasto médio por pedido</t>
  </si>
  <si>
    <t>🍕 Pizzas Vendidas Hoje</t>
  </si>
  <si>
    <t>Quantas pizzas saíram hoje</t>
  </si>
  <si>
    <t>📦 FATURAMENTO POR TIPO DE ENTREGA</t>
  </si>
  <si>
    <t>Tipo Entrega</t>
  </si>
  <si>
    <t>% do Total</t>
  </si>
  <si>
    <t>🏍️ Delivery</t>
  </si>
  <si>
    <t>🏃 Retirada</t>
  </si>
  <si>
    <t>🍽️ Mesa</t>
  </si>
  <si>
    <t>TOTAL</t>
  </si>
  <si>
    <t>💳 FATURAMENTO POR FORMA DE PAGAMENTO</t>
  </si>
  <si>
    <t>Forma Pagamento</t>
  </si>
  <si>
    <t>📱 PIX</t>
  </si>
  <si>
    <t>💵 Dinheiro</t>
  </si>
  <si>
    <t>💳 Cartão Débito</t>
  </si>
  <si>
    <t>💳 Cartão Crédito</t>
  </si>
  <si>
    <t>🎫 Vale Refeição</t>
  </si>
  <si>
    <t>Mês</t>
  </si>
  <si>
    <t>Faturamento</t>
  </si>
  <si>
    <t>Abr/25</t>
  </si>
  <si>
    <t>Mai/25</t>
  </si>
  <si>
    <t>Ago/25</t>
  </si>
  <si>
    <t>Set/25</t>
  </si>
  <si>
    <t>Out/25</t>
  </si>
  <si>
    <t>Dez/25</t>
  </si>
  <si>
    <t>Fev/26</t>
  </si>
  <si>
    <t>Abr/26</t>
  </si>
  <si>
    <t>Jun/25</t>
  </si>
  <si>
    <t>Jul/25</t>
  </si>
  <si>
    <t>Nov/25</t>
  </si>
  <si>
    <t>Jan/26</t>
  </si>
  <si>
    <t>Mar/26</t>
  </si>
  <si>
    <t>📦 Saúde do Estoque</t>
  </si>
  <si>
    <t>%</t>
  </si>
  <si>
    <t>✅ OK</t>
  </si>
  <si>
    <t>⚠️ Baixo</t>
  </si>
  <si>
    <t>🔴 Crítico</t>
  </si>
  <si>
    <t>🔔 Alertas Inteligentes</t>
  </si>
  <si>
    <t>🔴 3 itens com estoque CRÍTICO</t>
  </si>
  <si>
    <t>⚠️ 3 itens com estoque BAIXO</t>
  </si>
  <si>
    <t>📈 Ontem: R$ 1.679,86 em vendas</t>
  </si>
  <si>
    <t>✅ 0 pedidos pendentes</t>
  </si>
  <si>
    <t xml:space="preserve">    </t>
  </si>
  <si>
    <t>Cliente x</t>
  </si>
  <si>
    <t>(11)12345-3457</t>
  </si>
  <si>
    <t>Recebido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</si>
</sst>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&quot;R$&quot;\ #,##0.00"/>
    <numFmt numFmtId="165" formatCode="[$-F800]dddd\,\ mmmm\ dd\,\ yyyy"/>
    <numFmt numFmtId="166" formatCode="[$-F400]h:mm:ss\ AM/PM"/>
    <numFmt numFmtId="167" formatCode="\R&quot;R$&quot;\ #,##0.00;\-\R&quot;R$&quot;\ #,##0.00;"/>
    <numFmt numFmtId="168" formatCode="\R&quot;R$&quot;\ #,##0.00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4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FFFFFF"/>
      <name val="Segoe UI"/>
      <family val="2"/>
    </font>
    <font>
      <sz val="11"/>
      <color theme="1"/>
      <name val="Segoe UI"/>
      <family val="2"/>
    </font>
    <font>
      <u/>
      <sz val="11"/>
      <color theme="1"/>
      <name val="Segoe UI"/>
      <family val="2"/>
    </font>
    <font>
      <b/>
      <sz val="22"/>
      <color rgb="FFE63939"/>
      <name val="Segoe UI"/>
      <family val="2"/>
    </font>
    <font>
      <b/>
      <sz val="14"/>
      <color rgb="FFFFFFFF"/>
      <name val="Segoe UI"/>
      <family val="2"/>
    </font>
    <font>
      <b/>
      <sz val="12"/>
      <color rgb="FFFFFFFF"/>
      <name val="Segoe UI"/>
      <family val="2"/>
    </font>
    <font>
      <b/>
      <sz val="22"/>
      <color rgb="FFE63939"/>
      <name val="Aptos Narrow"/>
      <family val="2"/>
      <scheme val="minor"/>
    </font>
    <font>
      <u val="singleAccounting"/>
      <sz val="14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1"/>
      <color rgb="FF2A9D8F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1"/>
      <color rgb="FF107C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4"/>
      <color rgb="FF333333"/>
      <name val="Aptos Narrow"/>
      <family val="2"/>
      <scheme val="minor"/>
    </font>
    <font>
      <sz val="11"/>
      <color rgb="FF2A9D8F"/>
      <name val="Aptos Narrow"/>
      <family val="2"/>
      <scheme val="minor"/>
    </font>
    <font>
      <sz val="11"/>
      <color rgb="FFF4A261"/>
      <name val="Aptos Narrow"/>
      <family val="2"/>
      <scheme val="minor"/>
    </font>
    <font>
      <b/>
      <sz val="11"/>
      <color rgb="FFF4A261"/>
      <name val="Aptos Narrow"/>
      <family val="2"/>
      <scheme val="minor"/>
    </font>
    <font>
      <sz val="11"/>
      <color rgb="FFE63946"/>
      <name val="Aptos Narrow"/>
      <family val="2"/>
      <scheme val="minor"/>
    </font>
    <font>
      <b/>
      <sz val="11"/>
      <color rgb="FFE63946"/>
      <name val="Aptos Narrow"/>
      <family val="2"/>
      <scheme val="minor"/>
    </font>
    <font>
      <b/>
      <sz val="11"/>
      <color rgb="FFE67E22"/>
      <name val="Aptos Narrow"/>
      <family val="2"/>
      <scheme val="minor"/>
    </font>
    <font>
      <b/>
      <sz val="11"/>
      <color rgb="FF9B59B6"/>
      <name val="Aptos Narrow"/>
      <family val="2"/>
      <scheme val="minor"/>
    </font>
    <font>
      <b/>
      <sz val="11"/>
      <color rgb="FF3498DB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393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8F1E9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F4A261"/>
        <bgColor indexed="64"/>
      </patternFill>
    </fill>
    <fill>
      <patternFill patternType="solid">
        <fgColor rgb="FFE76F51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8F5F3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3E0"/>
        <bgColor indexed="64"/>
      </patternFill>
    </fill>
    <fill>
      <patternFill patternType="solid">
        <fgColor rgb="FFECEFF1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rgb="FFF5D5CE"/>
        <bgColor indexed="64"/>
      </patternFill>
    </fill>
    <fill>
      <patternFill patternType="solid">
        <fgColor rgb="FFFDF0ED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AF4EC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rgb="FFCCCCCC"/>
      </top>
      <bottom/>
      <diagonal/>
    </border>
    <border>
      <left/>
      <right/>
      <top/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4" fontId="6" fillId="0" borderId="0" xfId="1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9"/>
    </xf>
    <xf numFmtId="0" fontId="14" fillId="2" borderId="0" xfId="0" applyFont="1" applyFill="1" applyAlignment="1">
      <alignment horizontal="right" vertical="center" indent="8"/>
    </xf>
    <xf numFmtId="14" fontId="13" fillId="0" borderId="0" xfId="0" applyNumberFormat="1" applyFont="1" applyAlignment="1">
      <alignment horizontal="right" vertical="center" indent="8"/>
    </xf>
    <xf numFmtId="0" fontId="13" fillId="0" borderId="0" xfId="0" applyFont="1" applyAlignment="1">
      <alignment horizontal="right" vertical="center" indent="8"/>
    </xf>
    <xf numFmtId="0" fontId="14" fillId="0" borderId="0" xfId="0" applyFont="1" applyAlignment="1">
      <alignment horizontal="left" vertical="center" indent="9"/>
    </xf>
    <xf numFmtId="0" fontId="13" fillId="0" borderId="0" xfId="0" applyFont="1"/>
    <xf numFmtId="0" fontId="2" fillId="0" borderId="0" xfId="0" applyFont="1"/>
    <xf numFmtId="166" fontId="13" fillId="0" borderId="0" xfId="0" applyNumberFormat="1" applyFont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64" fontId="14" fillId="2" borderId="0" xfId="0" applyNumberFormat="1" applyFont="1" applyFill="1" applyAlignment="1">
      <alignment horizontal="right" vertical="center" indent="8"/>
    </xf>
    <xf numFmtId="164" fontId="13" fillId="0" borderId="0" xfId="0" applyNumberFormat="1" applyFont="1" applyAlignment="1">
      <alignment horizontal="right" vertical="center" indent="8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167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164" fontId="15" fillId="5" borderId="8" xfId="0" applyNumberFormat="1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/>
    </xf>
    <xf numFmtId="164" fontId="16" fillId="6" borderId="8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164" fontId="16" fillId="4" borderId="8" xfId="0" applyNumberFormat="1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164" fontId="6" fillId="7" borderId="0" xfId="0" applyNumberFormat="1" applyFont="1" applyFill="1" applyAlignment="1">
      <alignment horizontal="center" vertical="center"/>
    </xf>
    <xf numFmtId="0" fontId="16" fillId="4" borderId="1" xfId="0" applyFont="1" applyFill="1" applyBorder="1" applyAlignment="1">
      <alignment horizontal="left" vertical="center"/>
    </xf>
    <xf numFmtId="164" fontId="16" fillId="4" borderId="1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" fontId="16" fillId="6" borderId="8" xfId="0" applyNumberFormat="1" applyFont="1" applyFill="1" applyBorder="1" applyAlignment="1">
      <alignment horizontal="center" vertical="center"/>
    </xf>
    <xf numFmtId="1" fontId="16" fillId="4" borderId="8" xfId="0" applyNumberFormat="1" applyFont="1" applyFill="1" applyBorder="1" applyAlignment="1">
      <alignment horizontal="center" vertical="center"/>
    </xf>
    <xf numFmtId="1" fontId="16" fillId="4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5" fillId="5" borderId="8" xfId="0" applyNumberFormat="1" applyFont="1" applyFill="1" applyBorder="1" applyAlignment="1">
      <alignment horizontal="center" vertical="center"/>
    </xf>
    <xf numFmtId="1" fontId="7" fillId="2" borderId="0" xfId="0" applyNumberFormat="1" applyFont="1" applyFill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5" fillId="5" borderId="8" xfId="0" applyNumberFormat="1" applyFont="1" applyFill="1" applyBorder="1" applyAlignment="1">
      <alignment horizontal="center" vertical="center"/>
    </xf>
    <xf numFmtId="14" fontId="16" fillId="6" borderId="8" xfId="0" applyNumberFormat="1" applyFont="1" applyFill="1" applyBorder="1" applyAlignment="1">
      <alignment horizontal="center" vertical="center"/>
    </xf>
    <xf numFmtId="14" fontId="16" fillId="4" borderId="8" xfId="0" applyNumberFormat="1" applyFont="1" applyFill="1" applyBorder="1" applyAlignment="1">
      <alignment horizontal="center" vertical="center"/>
    </xf>
    <xf numFmtId="14" fontId="4" fillId="7" borderId="0" xfId="0" applyNumberFormat="1" applyFont="1" applyFill="1" applyAlignment="1">
      <alignment vertical="center"/>
    </xf>
    <xf numFmtId="14" fontId="0" fillId="2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15" fillId="5" borderId="8" xfId="0" applyNumberFormat="1" applyFont="1" applyFill="1" applyBorder="1" applyAlignment="1">
      <alignment horizontal="center" vertical="center"/>
    </xf>
    <xf numFmtId="166" fontId="16" fillId="6" borderId="8" xfId="0" applyNumberFormat="1" applyFont="1" applyFill="1" applyBorder="1" applyAlignment="1">
      <alignment horizontal="center" vertical="center"/>
    </xf>
    <xf numFmtId="166" fontId="16" fillId="4" borderId="8" xfId="0" applyNumberFormat="1" applyFont="1" applyFill="1" applyBorder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4" fontId="4" fillId="7" borderId="0" xfId="0" applyNumberFormat="1" applyFont="1" applyFill="1" applyAlignment="1">
      <alignment horizontal="center" vertical="center"/>
    </xf>
    <xf numFmtId="164" fontId="17" fillId="4" borderId="8" xfId="0" applyNumberFormat="1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22" fontId="6" fillId="0" borderId="0" xfId="0" applyNumberFormat="1" applyFont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49" fontId="6" fillId="15" borderId="0" xfId="0" applyNumberFormat="1" applyFont="1" applyFill="1" applyAlignment="1">
      <alignment horizontal="center" vertical="center"/>
    </xf>
    <xf numFmtId="44" fontId="6" fillId="15" borderId="0" xfId="1" applyFont="1" applyFill="1" applyAlignment="1">
      <alignment horizontal="center" vertical="center"/>
    </xf>
    <xf numFmtId="2" fontId="11" fillId="5" borderId="2" xfId="0" applyNumberFormat="1" applyFont="1" applyFill="1" applyBorder="1" applyAlignment="1">
      <alignment horizontal="center" vertical="center"/>
    </xf>
    <xf numFmtId="49" fontId="11" fillId="5" borderId="3" xfId="0" applyNumberFormat="1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44" fontId="11" fillId="5" borderId="3" xfId="1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center" vertical="center" wrapText="1"/>
    </xf>
    <xf numFmtId="164" fontId="0" fillId="15" borderId="0" xfId="0" applyNumberFormat="1" applyFill="1" applyAlignment="1">
      <alignment horizontal="center" vertical="center"/>
    </xf>
    <xf numFmtId="1" fontId="10" fillId="5" borderId="2" xfId="0" applyNumberFormat="1" applyFont="1" applyFill="1" applyBorder="1" applyAlignment="1">
      <alignment horizontal="center" vertical="center"/>
    </xf>
    <xf numFmtId="10" fontId="10" fillId="5" borderId="3" xfId="0" applyNumberFormat="1" applyFont="1" applyFill="1" applyBorder="1" applyAlignment="1">
      <alignment horizontal="center" vertical="center"/>
    </xf>
    <xf numFmtId="10" fontId="10" fillId="5" borderId="3" xfId="0" applyNumberFormat="1" applyFont="1" applyFill="1" applyBorder="1" applyAlignment="1">
      <alignment horizontal="center" vertical="center" wrapText="1"/>
    </xf>
    <xf numFmtId="164" fontId="10" fillId="5" borderId="3" xfId="0" applyNumberFormat="1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7" xfId="0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6" fillId="18" borderId="7" xfId="0" applyFont="1" applyFill="1" applyBorder="1" applyAlignment="1">
      <alignment horizontal="center" vertical="center"/>
    </xf>
    <xf numFmtId="0" fontId="6" fillId="18" borderId="11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center" vertical="center"/>
    </xf>
    <xf numFmtId="0" fontId="13" fillId="20" borderId="0" xfId="0" applyFont="1" applyFill="1"/>
    <xf numFmtId="0" fontId="13" fillId="20" borderId="7" xfId="0" applyFont="1" applyFill="1" applyBorder="1"/>
    <xf numFmtId="0" fontId="6" fillId="20" borderId="11" xfId="0" applyFont="1" applyFill="1" applyBorder="1" applyAlignment="1">
      <alignment horizontal="center" vertical="center"/>
    </xf>
    <xf numFmtId="0" fontId="6" fillId="20" borderId="2" xfId="0" applyFont="1" applyFill="1" applyBorder="1" applyAlignment="1">
      <alignment horizontal="center" vertical="center"/>
    </xf>
    <xf numFmtId="0" fontId="6" fillId="21" borderId="0" xfId="0" applyFont="1" applyFill="1" applyAlignment="1">
      <alignment horizontal="center" vertical="center"/>
    </xf>
    <xf numFmtId="0" fontId="6" fillId="21" borderId="11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left" vertical="center"/>
    </xf>
    <xf numFmtId="0" fontId="0" fillId="21" borderId="0" xfId="0" applyFill="1"/>
    <xf numFmtId="44" fontId="22" fillId="0" borderId="0" xfId="1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15" borderId="0" xfId="0" applyNumberFormat="1" applyFill="1" applyAlignment="1">
      <alignment horizontal="center" vertical="center"/>
    </xf>
    <xf numFmtId="9" fontId="10" fillId="5" borderId="3" xfId="0" applyNumberFormat="1" applyFont="1" applyFill="1" applyBorder="1" applyAlignment="1">
      <alignment horizontal="center" vertical="center"/>
    </xf>
    <xf numFmtId="9" fontId="16" fillId="4" borderId="8" xfId="0" applyNumberFormat="1" applyFont="1" applyFill="1" applyBorder="1" applyAlignment="1">
      <alignment horizontal="center" vertical="center"/>
    </xf>
    <xf numFmtId="9" fontId="16" fillId="6" borderId="8" xfId="0" applyNumberFormat="1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9" fontId="0" fillId="15" borderId="0" xfId="2" applyFont="1" applyFill="1" applyAlignment="1">
      <alignment horizontal="center" vertical="center"/>
    </xf>
    <xf numFmtId="9" fontId="10" fillId="5" borderId="4" xfId="2" applyFont="1" applyFill="1" applyBorder="1" applyAlignment="1">
      <alignment horizontal="center" vertical="center"/>
    </xf>
    <xf numFmtId="9" fontId="16" fillId="4" borderId="8" xfId="2" applyFont="1" applyFill="1" applyBorder="1" applyAlignment="1">
      <alignment horizontal="center" vertical="center"/>
    </xf>
    <xf numFmtId="9" fontId="16" fillId="6" borderId="8" xfId="2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2" fontId="16" fillId="4" borderId="8" xfId="0" applyNumberFormat="1" applyFont="1" applyFill="1" applyBorder="1" applyAlignment="1">
      <alignment horizontal="center" vertical="center"/>
    </xf>
    <xf numFmtId="2" fontId="16" fillId="6" borderId="8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 wrapText="1"/>
    </xf>
    <xf numFmtId="0" fontId="0" fillId="0" borderId="10" xfId="0" applyBorder="1"/>
    <xf numFmtId="0" fontId="0" fillId="0" borderId="0" xfId="0" applyAlignment="1">
      <alignment horizontal="right"/>
    </xf>
    <xf numFmtId="0" fontId="0" fillId="0" borderId="11" xfId="0" applyBorder="1"/>
    <xf numFmtId="0" fontId="0" fillId="0" borderId="4" xfId="0" applyBorder="1"/>
    <xf numFmtId="0" fontId="0" fillId="0" borderId="7" xfId="0" applyBorder="1"/>
    <xf numFmtId="164" fontId="0" fillId="0" borderId="7" xfId="0" applyNumberFormat="1" applyBorder="1" applyAlignment="1">
      <alignment horizontal="right"/>
    </xf>
    <xf numFmtId="0" fontId="0" fillId="0" borderId="2" xfId="0" applyBorder="1"/>
    <xf numFmtId="164" fontId="0" fillId="0" borderId="0" xfId="0" applyNumberFormat="1" applyAlignment="1">
      <alignment horizontal="right"/>
    </xf>
    <xf numFmtId="0" fontId="0" fillId="21" borderId="10" xfId="0" applyFill="1" applyBorder="1"/>
    <xf numFmtId="0" fontId="0" fillId="21" borderId="11" xfId="0" applyFill="1" applyBorder="1"/>
    <xf numFmtId="0" fontId="0" fillId="0" borderId="7" xfId="0" applyBorder="1" applyAlignment="1">
      <alignment horizontal="right"/>
    </xf>
    <xf numFmtId="0" fontId="0" fillId="14" borderId="10" xfId="0" applyFill="1" applyBorder="1" applyAlignment="1">
      <alignment horizontal="left" vertical="center"/>
    </xf>
    <xf numFmtId="0" fontId="0" fillId="14" borderId="0" xfId="0" applyFill="1" applyAlignment="1">
      <alignment horizontal="center" vertical="center"/>
    </xf>
    <xf numFmtId="1" fontId="4" fillId="14" borderId="0" xfId="0" applyNumberFormat="1" applyFont="1" applyFill="1" applyAlignment="1">
      <alignment horizontal="right" vertical="center"/>
    </xf>
    <xf numFmtId="0" fontId="0" fillId="14" borderId="11" xfId="0" applyFill="1" applyBorder="1" applyAlignment="1">
      <alignment horizontal="center" vertical="center"/>
    </xf>
    <xf numFmtId="0" fontId="0" fillId="14" borderId="4" xfId="0" applyFill="1" applyBorder="1" applyAlignment="1">
      <alignment horizontal="left" vertical="center"/>
    </xf>
    <xf numFmtId="0" fontId="0" fillId="14" borderId="7" xfId="0" applyFill="1" applyBorder="1" applyAlignment="1">
      <alignment horizontal="center" vertical="center"/>
    </xf>
    <xf numFmtId="9" fontId="4" fillId="14" borderId="7" xfId="2" applyFont="1" applyFill="1" applyBorder="1" applyAlignment="1">
      <alignment horizontal="right" vertical="center"/>
    </xf>
    <xf numFmtId="0" fontId="0" fillId="14" borderId="2" xfId="0" applyFill="1" applyBorder="1" applyAlignment="1">
      <alignment horizontal="center" vertical="center"/>
    </xf>
    <xf numFmtId="0" fontId="0" fillId="16" borderId="10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" fillId="16" borderId="0" xfId="0" applyFont="1" applyFill="1" applyAlignment="1">
      <alignment horizontal="right" vertical="center"/>
    </xf>
    <xf numFmtId="0" fontId="0" fillId="16" borderId="11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4" fillId="16" borderId="7" xfId="0" applyFont="1" applyFill="1" applyBorder="1" applyAlignment="1">
      <alignment horizontal="right" vertical="center"/>
    </xf>
    <xf numFmtId="0" fontId="0" fillId="16" borderId="2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9" fontId="4" fillId="3" borderId="0" xfId="2" applyFont="1" applyFill="1" applyBorder="1" applyAlignment="1">
      <alignment horizontal="right" vertical="center"/>
    </xf>
    <xf numFmtId="0" fontId="0" fillId="3" borderId="11" xfId="0" applyFill="1" applyBorder="1" applyAlignment="1">
      <alignment horizontal="center" vertical="center"/>
    </xf>
    <xf numFmtId="0" fontId="0" fillId="17" borderId="1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1" borderId="5" xfId="0" applyFill="1" applyBorder="1" applyAlignment="1">
      <alignment horizontal="center" vertical="center"/>
    </xf>
    <xf numFmtId="0" fontId="0" fillId="21" borderId="9" xfId="0" applyFill="1" applyBorder="1" applyAlignment="1">
      <alignment horizontal="center" vertical="center"/>
    </xf>
    <xf numFmtId="0" fontId="4" fillId="21" borderId="9" xfId="0" applyFont="1" applyFill="1" applyBorder="1" applyAlignment="1">
      <alignment horizontal="center" vertical="center"/>
    </xf>
    <xf numFmtId="0" fontId="0" fillId="21" borderId="6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4" fillId="0" borderId="7" xfId="2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164" fontId="4" fillId="17" borderId="0" xfId="0" applyNumberFormat="1" applyFont="1" applyFill="1" applyAlignment="1">
      <alignment horizontal="right" vertical="center"/>
    </xf>
    <xf numFmtId="164" fontId="4" fillId="17" borderId="7" xfId="0" applyNumberFormat="1" applyFont="1" applyFill="1" applyBorder="1" applyAlignment="1">
      <alignment horizontal="right" vertical="center"/>
    </xf>
    <xf numFmtId="164" fontId="4" fillId="14" borderId="0" xfId="0" applyNumberFormat="1" applyFont="1" applyFill="1" applyAlignment="1">
      <alignment horizontal="right" vertical="center"/>
    </xf>
    <xf numFmtId="1" fontId="4" fillId="18" borderId="0" xfId="0" applyNumberFormat="1" applyFont="1" applyFill="1" applyAlignment="1">
      <alignment horizontal="right" vertical="center"/>
    </xf>
    <xf numFmtId="1" fontId="13" fillId="20" borderId="0" xfId="0" applyNumberFormat="1" applyFont="1" applyFill="1" applyAlignment="1">
      <alignment horizontal="right"/>
    </xf>
    <xf numFmtId="0" fontId="16" fillId="4" borderId="10" xfId="0" applyFont="1" applyFill="1" applyBorder="1" applyAlignment="1">
      <alignment horizontal="left" vertical="center"/>
    </xf>
    <xf numFmtId="0" fontId="16" fillId="4" borderId="4" xfId="0" applyFont="1" applyFill="1" applyBorder="1" applyAlignment="1">
      <alignment horizontal="left" vertical="center"/>
    </xf>
    <xf numFmtId="0" fontId="6" fillId="19" borderId="11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1" fontId="0" fillId="13" borderId="0" xfId="0" applyNumberFormat="1" applyFill="1" applyAlignment="1">
      <alignment horizontal="right" vertical="center"/>
    </xf>
    <xf numFmtId="1" fontId="4" fillId="18" borderId="7" xfId="0" applyNumberFormat="1" applyFont="1" applyFill="1" applyBorder="1" applyAlignment="1">
      <alignment horizontal="right" vertical="center"/>
    </xf>
    <xf numFmtId="1" fontId="13" fillId="20" borderId="7" xfId="0" applyNumberFormat="1" applyFont="1" applyFill="1" applyBorder="1" applyAlignment="1">
      <alignment horizontal="right"/>
    </xf>
    <xf numFmtId="0" fontId="6" fillId="22" borderId="12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0" fontId="6" fillId="22" borderId="14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164" fontId="16" fillId="4" borderId="10" xfId="0" applyNumberFormat="1" applyFont="1" applyFill="1" applyBorder="1" applyAlignment="1">
      <alignment horizontal="left" vertical="center"/>
    </xf>
    <xf numFmtId="164" fontId="0" fillId="13" borderId="0" xfId="0" applyNumberFormat="1" applyFill="1" applyAlignment="1">
      <alignment horizontal="right" vertical="center"/>
    </xf>
    <xf numFmtId="164" fontId="0" fillId="13" borderId="7" xfId="0" applyNumberFormat="1" applyFill="1" applyBorder="1" applyAlignment="1">
      <alignment horizontal="right" vertical="center"/>
    </xf>
    <xf numFmtId="164" fontId="13" fillId="23" borderId="0" xfId="0" applyNumberFormat="1" applyFont="1" applyFill="1" applyAlignment="1">
      <alignment horizontal="right"/>
    </xf>
    <xf numFmtId="164" fontId="6" fillId="22" borderId="13" xfId="0" applyNumberFormat="1" applyFont="1" applyFill="1" applyBorder="1" applyAlignment="1">
      <alignment horizontal="right" vertical="center"/>
    </xf>
    <xf numFmtId="164" fontId="0" fillId="0" borderId="0" xfId="0" applyNumberFormat="1"/>
    <xf numFmtId="1" fontId="23" fillId="6" borderId="8" xfId="0" applyNumberFormat="1" applyFont="1" applyFill="1" applyBorder="1" applyAlignment="1">
      <alignment horizontal="center" vertical="center"/>
    </xf>
    <xf numFmtId="164" fontId="23" fillId="6" borderId="8" xfId="0" applyNumberFormat="1" applyFont="1" applyFill="1" applyBorder="1" applyAlignment="1">
      <alignment horizontal="center" vertical="center"/>
    </xf>
    <xf numFmtId="2" fontId="23" fillId="6" borderId="8" xfId="0" applyNumberFormat="1" applyFont="1" applyFill="1" applyBorder="1" applyAlignment="1">
      <alignment horizontal="center" vertical="center"/>
    </xf>
    <xf numFmtId="0" fontId="3" fillId="0" borderId="0" xfId="0" applyFont="1"/>
    <xf numFmtId="14" fontId="0" fillId="0" borderId="0" xfId="0" applyNumberFormat="1"/>
    <xf numFmtId="0" fontId="3" fillId="25" borderId="0" xfId="0" applyFont="1" applyFill="1"/>
    <xf numFmtId="0" fontId="25" fillId="0" borderId="0" xfId="0" applyFont="1"/>
    <xf numFmtId="168" fontId="0" fillId="0" borderId="0" xfId="0" applyNumberFormat="1"/>
    <xf numFmtId="10" fontId="0" fillId="0" borderId="0" xfId="0" applyNumberFormat="1"/>
    <xf numFmtId="10" fontId="26" fillId="26" borderId="0" xfId="0" applyNumberFormat="1" applyFont="1" applyFill="1" applyAlignment="1">
      <alignment horizontal="right"/>
    </xf>
    <xf numFmtId="1" fontId="3" fillId="26" borderId="0" xfId="0" applyNumberFormat="1" applyFont="1" applyFill="1" applyAlignment="1">
      <alignment horizontal="right"/>
    </xf>
    <xf numFmtId="0" fontId="3" fillId="28" borderId="0" xfId="0" applyFont="1" applyFill="1"/>
    <xf numFmtId="164" fontId="26" fillId="26" borderId="0" xfId="0" applyNumberFormat="1" applyFont="1" applyFill="1" applyAlignment="1">
      <alignment horizontal="right"/>
    </xf>
    <xf numFmtId="164" fontId="3" fillId="26" borderId="0" xfId="0" applyNumberFormat="1" applyFont="1" applyFill="1" applyAlignment="1">
      <alignment horizontal="right"/>
    </xf>
    <xf numFmtId="0" fontId="3" fillId="29" borderId="0" xfId="0" applyFont="1" applyFill="1"/>
    <xf numFmtId="168" fontId="0" fillId="29" borderId="0" xfId="0" applyNumberFormat="1" applyFill="1"/>
    <xf numFmtId="10" fontId="0" fillId="29" borderId="0" xfId="0" applyNumberFormat="1" applyFill="1"/>
    <xf numFmtId="0" fontId="0" fillId="30" borderId="0" xfId="0" applyFill="1"/>
    <xf numFmtId="16" fontId="0" fillId="30" borderId="0" xfId="0" applyNumberFormat="1" applyFill="1"/>
    <xf numFmtId="49" fontId="0" fillId="30" borderId="0" xfId="0" applyNumberFormat="1" applyFill="1"/>
    <xf numFmtId="0" fontId="3" fillId="4" borderId="0" xfId="0" applyFont="1" applyFill="1"/>
    <xf numFmtId="0" fontId="30" fillId="4" borderId="0" xfId="0" applyFont="1" applyFill="1"/>
    <xf numFmtId="9" fontId="30" fillId="4" borderId="0" xfId="0" applyNumberFormat="1" applyFont="1" applyFill="1"/>
    <xf numFmtId="0" fontId="31" fillId="4" borderId="0" xfId="0" applyFont="1" applyFill="1"/>
    <xf numFmtId="9" fontId="31" fillId="4" borderId="0" xfId="0" applyNumberFormat="1" applyFont="1" applyFill="1"/>
    <xf numFmtId="0" fontId="33" fillId="4" borderId="16" xfId="0" applyFont="1" applyFill="1" applyBorder="1"/>
    <xf numFmtId="0" fontId="3" fillId="4" borderId="18" xfId="0" applyFont="1" applyFill="1" applyBorder="1"/>
    <xf numFmtId="0" fontId="24" fillId="4" borderId="18" xfId="0" applyFont="1" applyFill="1" applyBorder="1"/>
    <xf numFmtId="0" fontId="32" fillId="4" borderId="18" xfId="0" applyFont="1" applyFill="1" applyBorder="1"/>
    <xf numFmtId="0" fontId="34" fillId="4" borderId="19" xfId="0" applyFont="1" applyFill="1" applyBorder="1"/>
    <xf numFmtId="9" fontId="33" fillId="4" borderId="16" xfId="0" applyNumberFormat="1" applyFont="1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29" fillId="4" borderId="23" xfId="0" applyFont="1" applyFill="1" applyBorder="1"/>
    <xf numFmtId="0" fontId="34" fillId="3" borderId="24" xfId="0" applyFont="1" applyFill="1" applyBorder="1"/>
    <xf numFmtId="0" fontId="35" fillId="16" borderId="24" xfId="0" applyFont="1" applyFill="1" applyBorder="1"/>
    <xf numFmtId="0" fontId="24" fillId="14" borderId="24" xfId="0" applyFont="1" applyFill="1" applyBorder="1"/>
    <xf numFmtId="0" fontId="24" fillId="14" borderId="25" xfId="0" applyFont="1" applyFill="1" applyBorder="1"/>
    <xf numFmtId="0" fontId="3" fillId="4" borderId="17" xfId="0" applyFont="1" applyFill="1" applyBorder="1"/>
    <xf numFmtId="0" fontId="3" fillId="4" borderId="20" xfId="0" applyFont="1" applyFill="1" applyBorder="1"/>
    <xf numFmtId="0" fontId="36" fillId="4" borderId="18" xfId="0" applyFont="1" applyFill="1" applyBorder="1"/>
    <xf numFmtId="0" fontId="37" fillId="4" borderId="19" xfId="0" applyFont="1" applyFill="1" applyBorder="1"/>
    <xf numFmtId="0" fontId="0" fillId="7" borderId="0" xfId="0" applyFill="1" applyAlignment="1">
      <alignment vertical="center"/>
    </xf>
    <xf numFmtId="166" fontId="0" fillId="7" borderId="0" xfId="0" applyNumberFormat="1" applyFill="1" applyAlignment="1">
      <alignment vertical="center"/>
    </xf>
    <xf numFmtId="1" fontId="0" fillId="7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/>
    </xf>
    <xf numFmtId="0" fontId="20" fillId="9" borderId="7" xfId="0" applyFont="1" applyFill="1" applyBorder="1" applyAlignment="1">
      <alignment horizontal="center" vertical="center"/>
    </xf>
    <xf numFmtId="0" fontId="20" fillId="10" borderId="7" xfId="0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164" fontId="18" fillId="4" borderId="0" xfId="0" applyNumberFormat="1" applyFont="1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0" fillId="0" borderId="0" xfId="0"/>
    <xf numFmtId="0" fontId="7" fillId="8" borderId="5" xfId="0" applyFont="1" applyFill="1" applyBorder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1" borderId="9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/>
    </xf>
    <xf numFmtId="0" fontId="0" fillId="0" borderId="9" xfId="0" applyBorder="1"/>
    <xf numFmtId="0" fontId="0" fillId="0" borderId="6" xfId="0" applyBorder="1"/>
    <xf numFmtId="1" fontId="21" fillId="4" borderId="0" xfId="0" applyNumberFormat="1" applyFont="1" applyFill="1" applyAlignment="1">
      <alignment horizontal="center" vertical="center"/>
    </xf>
    <xf numFmtId="1" fontId="0" fillId="0" borderId="0" xfId="0" applyNumberFormat="1"/>
    <xf numFmtId="0" fontId="10" fillId="8" borderId="5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6" xfId="0" applyBorder="1" applyAlignment="1">
      <alignment vertical="center"/>
    </xf>
    <xf numFmtId="0" fontId="7" fillId="9" borderId="5" xfId="0" applyFon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11" fillId="24" borderId="0" xfId="0" applyFont="1" applyFill="1" applyAlignment="1">
      <alignment horizontal="center"/>
    </xf>
    <xf numFmtId="0" fontId="28" fillId="27" borderId="0" xfId="0" applyFont="1" applyFill="1"/>
    <xf numFmtId="0" fontId="3" fillId="0" borderId="0" xfId="0" applyFont="1"/>
    <xf numFmtId="0" fontId="29" fillId="4" borderId="17" xfId="0" applyFont="1" applyFill="1" applyBorder="1"/>
    <xf numFmtId="0" fontId="0" fillId="4" borderId="15" xfId="0" applyFill="1" applyBorder="1"/>
    <xf numFmtId="0" fontId="27" fillId="4" borderId="17" xfId="0" applyFont="1" applyFill="1" applyBorder="1"/>
    <xf numFmtId="1" fontId="17" fillId="4" borderId="8" xfId="0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2" formatCode="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2" formatCode="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" formatCode="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z val="10"/>
        <name val="Segoe UI"/>
        <family val="2"/>
        <scheme val="none"/>
      </font>
      <numFmt numFmtId="1" formatCode="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b/>
        <i val="0"/>
        <color rgb="FF2A9D8F"/>
      </font>
    </dxf>
    <dxf>
      <font>
        <b/>
        <i val="0"/>
        <color rgb="FFE67E00"/>
      </font>
    </dxf>
    <dxf>
      <font>
        <b/>
        <i val="0"/>
        <color rgb="FFC00000"/>
      </font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2E7D5A"/>
      </font>
      <fill>
        <patternFill patternType="solid">
          <fgColor indexed="64"/>
          <bgColor rgb="FFB4E7CE"/>
        </patternFill>
      </fill>
    </dxf>
    <dxf>
      <font>
        <color rgb="FF505050"/>
      </font>
      <fill>
        <patternFill patternType="solid">
          <fgColor indexed="64"/>
          <bgColor rgb="FFE0E0E0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border outline="0">
        <top style="thin">
          <color rgb="FFE0E0E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name val="Segoe UI"/>
        <family val="2"/>
        <scheme val="none"/>
      </font>
      <fill>
        <patternFill patternType="solid">
          <fgColor indexed="64"/>
          <bgColor rgb="FFFAFAFA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numFmt numFmtId="14" formatCode="0.00%"/>
      <fill>
        <patternFill patternType="solid">
          <fgColor indexed="64"/>
          <bgColor rgb="FFE6393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numFmt numFmtId="14" formatCode="0.00%"/>
      <fill>
        <patternFill patternType="solid">
          <fgColor indexed="64"/>
          <bgColor rgb="FFE6393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164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Aptos Narrow"/>
        <family val="2"/>
        <scheme val="minor"/>
      </font>
      <fill>
        <patternFill patternType="solid">
          <fgColor indexed="64"/>
          <bgColor rgb="FFE6393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PivotStyle="PivotStyleLight16"/>
  <colors>
    <mruColors>
      <color rgb="FFFA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5BC-4E4D-BB51-96B738F47F0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5BC-4E4D-BB51-96B738F47F0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5BC-4E4D-BB51-96B738F47F02}"/>
              </c:ext>
            </c:extLst>
          </c:dPt>
          <c:cat>
            <c:strRef>
              <c:f>Planilha3!$A$18:$A$20</c:f>
              <c:strCache>
                <c:ptCount val="3"/>
                <c:pt idx="0">
                  <c:v>Delivery</c:v>
                </c:pt>
                <c:pt idx="1">
                  <c:v>Retirada</c:v>
                </c:pt>
                <c:pt idx="2">
                  <c:v>Mesa</c:v>
                </c:pt>
              </c:strCache>
            </c:strRef>
          </c:cat>
          <c:val>
            <c:numRef>
              <c:f>Planilha3!$B$18:$B$20</c:f>
              <c:numCache>
                <c:formatCode>General</c:formatCode>
                <c:ptCount val="3"/>
                <c:pt idx="0">
                  <c:v>2535.3579999999997</c:v>
                </c:pt>
                <c:pt idx="1">
                  <c:v>15133.226999999999</c:v>
                </c:pt>
                <c:pt idx="2">
                  <c:v>1758.4350000000002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BC-4E4D-BB51-96B738F47F02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8B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5BC-4E4D-BB51-96B738F47F02}"/>
              </c:ext>
            </c:extLst>
          </c:dPt>
          <c:dPt>
            <c:idx val="1"/>
            <c:invertIfNegative val="0"/>
            <c:bubble3D val="0"/>
            <c:spPr>
              <a:solidFill>
                <a:srgbClr val="A52A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5BC-4E4D-BB51-96B738F47F02}"/>
              </c:ext>
            </c:extLst>
          </c:dPt>
          <c:dPt>
            <c:idx val="2"/>
            <c:invertIfNegative val="0"/>
            <c:bubble3D val="0"/>
            <c:spPr>
              <a:solidFill>
                <a:srgbClr val="CD5C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5BC-4E4D-BB51-96B738F47F02}"/>
              </c:ext>
            </c:extLst>
          </c:dPt>
          <c:dPt>
            <c:idx val="3"/>
            <c:invertIfNegative val="0"/>
            <c:bubble3D val="0"/>
            <c:spPr>
              <a:solidFill>
                <a:srgbClr val="DC143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5BC-4E4D-BB51-96B738F47F02}"/>
              </c:ext>
            </c:extLst>
          </c:dPt>
          <c:dPt>
            <c:idx val="4"/>
            <c:invertIfNegative val="0"/>
            <c:bubble3D val="0"/>
            <c:spPr>
              <a:solidFill>
                <a:srgbClr val="FF63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5BC-4E4D-BB51-96B738F47F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Planilha3!$E$20:$E$24</c:f>
              <c:strCache>
                <c:ptCount val="5"/>
                <c:pt idx="0">
                  <c:v>PIX</c:v>
                </c:pt>
                <c:pt idx="1">
                  <c:v>Dinheiro</c:v>
                </c:pt>
                <c:pt idx="2">
                  <c:v>Cartão Débito</c:v>
                </c:pt>
                <c:pt idx="3">
                  <c:v>Cartão Crédito</c:v>
                </c:pt>
                <c:pt idx="4">
                  <c:v>Vale Refeição</c:v>
                </c:pt>
              </c:strCache>
            </c:strRef>
          </c:cat>
          <c:val>
            <c:numRef>
              <c:f>Planilha3!$F$20:$F$24</c:f>
              <c:numCache>
                <c:formatCode>General</c:formatCode>
                <c:ptCount val="5"/>
                <c:pt idx="0">
                  <c:v>3604.8959999999997</c:v>
                </c:pt>
                <c:pt idx="1">
                  <c:v>1291.5940000000001</c:v>
                </c:pt>
                <c:pt idx="2">
                  <c:v>1417.373</c:v>
                </c:pt>
                <c:pt idx="3">
                  <c:v>12537.212999999998</c:v>
                </c:pt>
                <c:pt idx="4">
                  <c:v>575.94399999999996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BC-4E4D-BB51-96B738F47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1929455"/>
        <c:axId val="1561929935"/>
      </c:barChart>
      <c:catAx>
        <c:axId val="1561929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929935"/>
        <c:crosses val="autoZero"/>
        <c:auto val="1"/>
        <c:lblAlgn val="ctr"/>
        <c:lblOffset val="100"/>
        <c:noMultiLvlLbl val="0"/>
      </c:catAx>
      <c:valAx>
        <c:axId val="156192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929455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>
      <a:solidFill>
        <a:schemeClr val="bg1"/>
      </a:solidFill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C2-4017-9B2A-F552F2EB24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C2-4017-9B2A-F552F2EB24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C2-4017-9B2A-F552F2EB2406}"/>
              </c:ext>
            </c:extLst>
          </c:dPt>
          <c:dLbls>
            <c:dLbl>
              <c:idx val="0"/>
              <c:layout>
                <c:manualLayout>
                  <c:x val="0.12990196078431362"/>
                  <c:y val="-5.1851851851851816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C2-4017-9B2A-F552F2EB2406}"/>
                </c:ext>
              </c:extLst>
            </c:dLbl>
            <c:dLbl>
              <c:idx val="1"/>
              <c:layout>
                <c:manualLayout>
                  <c:x val="6.8627450980392163E-2"/>
                  <c:y val="0.1111111111111111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C2-4017-9B2A-F552F2EB2406}"/>
                </c:ext>
              </c:extLst>
            </c:dLbl>
            <c:dLbl>
              <c:idx val="2"/>
              <c:layout>
                <c:manualLayout>
                  <c:x val="-0.11029411764705885"/>
                  <c:y val="-2.592592592592596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C2-4017-9B2A-F552F2EB24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Planilha3!$A$18:$A$20</c:f>
              <c:strCache>
                <c:ptCount val="3"/>
                <c:pt idx="0">
                  <c:v>Delivery</c:v>
                </c:pt>
                <c:pt idx="1">
                  <c:v>Retirada</c:v>
                </c:pt>
                <c:pt idx="2">
                  <c:v>Mesa</c:v>
                </c:pt>
              </c:strCache>
            </c:strRef>
          </c:cat>
          <c:val>
            <c:numRef>
              <c:f>Planilha3!$B$18:$B$20</c:f>
              <c:numCache>
                <c:formatCode>General</c:formatCode>
                <c:ptCount val="3"/>
                <c:pt idx="0">
                  <c:v>2535.3579999999997</c:v>
                </c:pt>
                <c:pt idx="1">
                  <c:v>15133.226999999999</c:v>
                </c:pt>
                <c:pt idx="2">
                  <c:v>1758.4350000000002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C2-4017-9B2A-F552F2EB2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F7-47D2-9C7F-B574ED00255F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F7-47D2-9C7F-B574ED00255F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FF7-47D2-9C7F-B574ED00255F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FF7-47D2-9C7F-B574ED00255F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FF7-47D2-9C7F-B574ED0025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Planilha1!$A$2:$A$6</c:f>
              <c:strCache>
                <c:ptCount val="5"/>
                <c:pt idx="0">
                  <c:v>Atum com Azeitona</c:v>
                </c:pt>
                <c:pt idx="1">
                  <c:v>Portuguesa</c:v>
                </c:pt>
                <c:pt idx="2">
                  <c:v>Calabresa com Catupiry</c:v>
                </c:pt>
                <c:pt idx="3">
                  <c:v>Pepperoni</c:v>
                </c:pt>
                <c:pt idx="4">
                  <c:v>Presunto Parma Especial</c:v>
                </c:pt>
              </c:strCache>
            </c:strRef>
          </c:cat>
          <c:val>
            <c:numRef>
              <c:f>Planilha1!$B$2:$B$6</c:f>
              <c:numCache>
                <c:formatCode>General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7-47D2-9C7F-B574ED002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9724495"/>
        <c:axId val="1399728335"/>
      </c:barChart>
      <c:catAx>
        <c:axId val="13997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728335"/>
        <c:crosses val="autoZero"/>
        <c:auto val="1"/>
        <c:lblAlgn val="ctr"/>
        <c:lblOffset val="100"/>
        <c:noMultiLvlLbl val="0"/>
      </c:catAx>
      <c:valAx>
        <c:axId val="139972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724495"/>
        <c:crosses val="autoZero"/>
        <c:crossBetween val="between"/>
      </c:valAx>
      <c:spPr>
        <a:solidFill>
          <a:schemeClr val="bg1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Planilha1!$E$1</c:f>
              <c:strCache>
                <c:ptCount val="1"/>
                <c:pt idx="0">
                  <c:v>Faturamento</c:v>
                </c:pt>
              </c:strCache>
            </c:strRef>
          </c:tx>
          <c:spPr>
            <a:ln w="28575" cap="rnd">
              <a:solidFill>
                <a:srgbClr val="F4A26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4A261"/>
              </a:solidFill>
              <a:ln w="9525">
                <a:solidFill>
                  <a:srgbClr val="F4A261"/>
                </a:solidFill>
                <a:prstDash val="solid"/>
              </a:ln>
              <a:effectLst/>
            </c:spPr>
          </c:marker>
          <c:cat>
            <c:strRef>
              <c:f>Planilha1!$D$2:$D$14</c:f>
              <c:strCache>
                <c:ptCount val="13"/>
                <c:pt idx="0">
                  <c:v>Abr/25</c:v>
                </c:pt>
                <c:pt idx="1">
                  <c:v>Mai/25</c:v>
                </c:pt>
                <c:pt idx="2">
                  <c:v>Jun/25</c:v>
                </c:pt>
                <c:pt idx="3">
                  <c:v>Jul/25</c:v>
                </c:pt>
                <c:pt idx="4">
                  <c:v>Ago/25</c:v>
                </c:pt>
                <c:pt idx="5">
                  <c:v>Set/25</c:v>
                </c:pt>
                <c:pt idx="6">
                  <c:v>Out/25</c:v>
                </c:pt>
                <c:pt idx="7">
                  <c:v>Nov/25</c:v>
                </c:pt>
                <c:pt idx="8">
                  <c:v>Dez/25</c:v>
                </c:pt>
                <c:pt idx="9">
                  <c:v>Jan/26</c:v>
                </c:pt>
                <c:pt idx="10">
                  <c:v>Fev/26</c:v>
                </c:pt>
                <c:pt idx="11">
                  <c:v>Mar/26</c:v>
                </c:pt>
                <c:pt idx="12">
                  <c:v>Abr/26</c:v>
                </c:pt>
              </c:strCache>
            </c:strRef>
          </c:cat>
          <c:val>
            <c:numRef>
              <c:f>Planilha1!$E$2:$E$14</c:f>
              <c:numCache>
                <c:formatCode>General</c:formatCode>
                <c:ptCount val="13"/>
                <c:pt idx="0">
                  <c:v>423.96</c:v>
                </c:pt>
                <c:pt idx="1">
                  <c:v>323.97000000000003</c:v>
                </c:pt>
                <c:pt idx="2">
                  <c:v>263.97000000000003</c:v>
                </c:pt>
                <c:pt idx="3">
                  <c:v>75.989999999999995</c:v>
                </c:pt>
                <c:pt idx="4">
                  <c:v>769.94</c:v>
                </c:pt>
                <c:pt idx="5">
                  <c:v>409.06</c:v>
                </c:pt>
                <c:pt idx="6">
                  <c:v>539.96</c:v>
                </c:pt>
                <c:pt idx="7">
                  <c:v>526.95000000000005</c:v>
                </c:pt>
                <c:pt idx="8">
                  <c:v>560.94000000000005</c:v>
                </c:pt>
                <c:pt idx="9">
                  <c:v>251.98</c:v>
                </c:pt>
                <c:pt idx="10">
                  <c:v>836.93</c:v>
                </c:pt>
                <c:pt idx="11">
                  <c:v>321.57</c:v>
                </c:pt>
                <c:pt idx="12">
                  <c:v>2716.47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2-4C9C-AC04-9333BBA92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396383"/>
        <c:axId val="1600382463"/>
      </c:lineChart>
      <c:catAx>
        <c:axId val="160039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0382463"/>
        <c:crosses val="autoZero"/>
        <c:auto val="1"/>
        <c:lblAlgn val="ctr"/>
        <c:lblOffset val="100"/>
        <c:noMultiLvlLbl val="0"/>
      </c:catAx>
      <c:valAx>
        <c:axId val="160038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0396383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Pizzas Mais Vendidas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EC-468F-91D9-CEF5C05FDC7C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1EC-468F-91D9-CEF5C05FDC7C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EC-468F-91D9-CEF5C05FDC7C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1EC-468F-91D9-CEF5C05FDC7C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EC-468F-91D9-CEF5C05FDC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Planilha1!$A$2:$A$6</c:f>
              <c:strCache>
                <c:ptCount val="5"/>
                <c:pt idx="0">
                  <c:v>Atum com Azeitona</c:v>
                </c:pt>
                <c:pt idx="1">
                  <c:v>Portuguesa</c:v>
                </c:pt>
                <c:pt idx="2">
                  <c:v>Calabresa com Catupiry</c:v>
                </c:pt>
                <c:pt idx="3">
                  <c:v>Pepperoni</c:v>
                </c:pt>
                <c:pt idx="4">
                  <c:v>Presunto Parma Especial</c:v>
                </c:pt>
              </c:strCache>
            </c:strRef>
          </c:cat>
          <c:val>
            <c:numRef>
              <c:f>Planilha1!$B$2:$B$6</c:f>
              <c:numCache>
                <c:formatCode>General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68F-91D9-CEF5C05FD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9724495"/>
        <c:axId val="1399728335"/>
      </c:barChart>
      <c:catAx>
        <c:axId val="13997244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728335"/>
        <c:crosses val="autoZero"/>
        <c:auto val="1"/>
        <c:lblAlgn val="ctr"/>
        <c:lblOffset val="100"/>
        <c:noMultiLvlLbl val="0"/>
      </c:catAx>
      <c:valAx>
        <c:axId val="139972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72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Planilha1!$E$1</c:f>
              <c:strCache>
                <c:ptCount val="1"/>
                <c:pt idx="0">
                  <c:v>Faturamento</c:v>
                </c:pt>
              </c:strCache>
            </c:strRef>
          </c:tx>
          <c:spPr>
            <a:ln w="28575" cap="rnd">
              <a:solidFill>
                <a:srgbClr val="F4A26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4A261"/>
              </a:solidFill>
              <a:ln w="9525">
                <a:solidFill>
                  <a:srgbClr val="F4A261"/>
                </a:solidFill>
                <a:prstDash val="solid"/>
              </a:ln>
              <a:effectLst/>
            </c:spPr>
          </c:marker>
          <c:cat>
            <c:strRef>
              <c:f>Planilha1!$D$2:$D$14</c:f>
              <c:strCache>
                <c:ptCount val="13"/>
                <c:pt idx="0">
                  <c:v>Abr/25</c:v>
                </c:pt>
                <c:pt idx="1">
                  <c:v>Mai/25</c:v>
                </c:pt>
                <c:pt idx="2">
                  <c:v>Jun/25</c:v>
                </c:pt>
                <c:pt idx="3">
                  <c:v>Jul/25</c:v>
                </c:pt>
                <c:pt idx="4">
                  <c:v>Ago/25</c:v>
                </c:pt>
                <c:pt idx="5">
                  <c:v>Set/25</c:v>
                </c:pt>
                <c:pt idx="6">
                  <c:v>Out/25</c:v>
                </c:pt>
                <c:pt idx="7">
                  <c:v>Nov/25</c:v>
                </c:pt>
                <c:pt idx="8">
                  <c:v>Dez/25</c:v>
                </c:pt>
                <c:pt idx="9">
                  <c:v>Jan/26</c:v>
                </c:pt>
                <c:pt idx="10">
                  <c:v>Fev/26</c:v>
                </c:pt>
                <c:pt idx="11">
                  <c:v>Mar/26</c:v>
                </c:pt>
                <c:pt idx="12">
                  <c:v>Abr/26</c:v>
                </c:pt>
              </c:strCache>
            </c:strRef>
          </c:cat>
          <c:val>
            <c:numRef>
              <c:f>Planilha1!$E$2:$E$14</c:f>
              <c:numCache>
                <c:formatCode>General</c:formatCode>
                <c:ptCount val="13"/>
                <c:pt idx="0">
                  <c:v>423.96</c:v>
                </c:pt>
                <c:pt idx="1">
                  <c:v>323.97000000000003</c:v>
                </c:pt>
                <c:pt idx="2">
                  <c:v>263.97000000000003</c:v>
                </c:pt>
                <c:pt idx="3">
                  <c:v>75.989999999999995</c:v>
                </c:pt>
                <c:pt idx="4">
                  <c:v>769.94</c:v>
                </c:pt>
                <c:pt idx="5">
                  <c:v>409.06</c:v>
                </c:pt>
                <c:pt idx="6">
                  <c:v>539.96</c:v>
                </c:pt>
                <c:pt idx="7">
                  <c:v>526.95000000000005</c:v>
                </c:pt>
                <c:pt idx="8">
                  <c:v>560.94000000000005</c:v>
                </c:pt>
                <c:pt idx="9">
                  <c:v>251.98</c:v>
                </c:pt>
                <c:pt idx="10">
                  <c:v>836.93</c:v>
                </c:pt>
                <c:pt idx="11">
                  <c:v>321.57</c:v>
                </c:pt>
                <c:pt idx="12">
                  <c:v>2716.47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42-49D9-A277-5C56FED21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396383"/>
        <c:axId val="1600382463"/>
      </c:lineChart>
      <c:catAx>
        <c:axId val="160039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0382463"/>
        <c:crosses val="autoZero"/>
        <c:auto val="1"/>
        <c:lblAlgn val="ctr"/>
        <c:lblOffset val="100"/>
        <c:noMultiLvlLbl val="0"/>
      </c:catAx>
      <c:valAx>
        <c:axId val="160038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0396383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Faturamento por Tipo de Entrega</a:t>
            </a:r>
          </a:p>
        </c:rich>
      </c:tx>
      <c:layout>
        <c:manualLayout>
          <c:xMode val="edge"/>
          <c:yMode val="edge"/>
          <c:x val="0.112395785085687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C4-451E-83E5-B7DCB1F62E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2C4-451E-83E5-B7DCB1F62E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C4-451E-83E5-B7DCB1F62E4C}"/>
              </c:ext>
            </c:extLst>
          </c:dPt>
          <c:dLbls>
            <c:dLbl>
              <c:idx val="0"/>
              <c:layout>
                <c:manualLayout>
                  <c:x val="0.12990196078431362"/>
                  <c:y val="-5.1851851851851816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C4-451E-83E5-B7DCB1F62E4C}"/>
                </c:ext>
              </c:extLst>
            </c:dLbl>
            <c:dLbl>
              <c:idx val="1"/>
              <c:layout>
                <c:manualLayout>
                  <c:x val="6.8627450980392163E-2"/>
                  <c:y val="0.1111111111111111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C4-451E-83E5-B7DCB1F62E4C}"/>
                </c:ext>
              </c:extLst>
            </c:dLbl>
            <c:dLbl>
              <c:idx val="2"/>
              <c:layout>
                <c:manualLayout>
                  <c:x val="-0.11029411764705885"/>
                  <c:y val="-2.592592592592596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C4-451E-83E5-B7DCB1F62E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Planilha3!$A$18:$A$20</c:f>
              <c:strCache>
                <c:ptCount val="3"/>
                <c:pt idx="0">
                  <c:v>Delivery</c:v>
                </c:pt>
                <c:pt idx="1">
                  <c:v>Retirada</c:v>
                </c:pt>
                <c:pt idx="2">
                  <c:v>Mesa</c:v>
                </c:pt>
              </c:strCache>
            </c:strRef>
          </c:cat>
          <c:val>
            <c:numRef>
              <c:f>Planilha3!$B$18:$B$20</c:f>
              <c:numCache>
                <c:formatCode>General</c:formatCode>
                <c:ptCount val="3"/>
                <c:pt idx="0">
                  <c:v>2535.3579999999997</c:v>
                </c:pt>
                <c:pt idx="1">
                  <c:v>15133.226999999999</c:v>
                </c:pt>
                <c:pt idx="2">
                  <c:v>1758.4350000000002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4-451E-83E5-B7DCB1F62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Faturamento por Forma de Pagamento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8B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77-47CB-B1ED-07D2C715899E}"/>
              </c:ext>
            </c:extLst>
          </c:dPt>
          <c:dPt>
            <c:idx val="1"/>
            <c:invertIfNegative val="0"/>
            <c:bubble3D val="0"/>
            <c:spPr>
              <a:solidFill>
                <a:srgbClr val="A52A2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C77-47CB-B1ED-07D2C715899E}"/>
              </c:ext>
            </c:extLst>
          </c:dPt>
          <c:dPt>
            <c:idx val="2"/>
            <c:invertIfNegative val="0"/>
            <c:bubble3D val="0"/>
            <c:spPr>
              <a:solidFill>
                <a:srgbClr val="CD5C5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C77-47CB-B1ED-07D2C715899E}"/>
              </c:ext>
            </c:extLst>
          </c:dPt>
          <c:dPt>
            <c:idx val="3"/>
            <c:invertIfNegative val="0"/>
            <c:bubble3D val="0"/>
            <c:spPr>
              <a:solidFill>
                <a:srgbClr val="DC143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77-47CB-B1ED-07D2C715899E}"/>
              </c:ext>
            </c:extLst>
          </c:dPt>
          <c:dPt>
            <c:idx val="4"/>
            <c:invertIfNegative val="0"/>
            <c:bubble3D val="0"/>
            <c:spPr>
              <a:solidFill>
                <a:srgbClr val="FF63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C77-47CB-B1ED-07D2C71589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Planilha3!$E$20:$E$24</c:f>
              <c:strCache>
                <c:ptCount val="5"/>
                <c:pt idx="0">
                  <c:v>PIX</c:v>
                </c:pt>
                <c:pt idx="1">
                  <c:v>Dinheiro</c:v>
                </c:pt>
                <c:pt idx="2">
                  <c:v>Cartão Débito</c:v>
                </c:pt>
                <c:pt idx="3">
                  <c:v>Cartão Crédito</c:v>
                </c:pt>
                <c:pt idx="4">
                  <c:v>Vale Refeição</c:v>
                </c:pt>
              </c:strCache>
            </c:strRef>
          </c:cat>
          <c:val>
            <c:numRef>
              <c:f>Planilha3!$F$20:$F$24</c:f>
              <c:numCache>
                <c:formatCode>General</c:formatCode>
                <c:ptCount val="5"/>
                <c:pt idx="0">
                  <c:v>3604.8959999999997</c:v>
                </c:pt>
                <c:pt idx="1">
                  <c:v>1291.5940000000001</c:v>
                </c:pt>
                <c:pt idx="2">
                  <c:v>1417.373</c:v>
                </c:pt>
                <c:pt idx="3">
                  <c:v>12537.212999999998</c:v>
                </c:pt>
                <c:pt idx="4">
                  <c:v>575.94399999999996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7-47CB-B1ED-07D2C7158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61929455"/>
        <c:axId val="1561929935"/>
      </c:barChart>
      <c:catAx>
        <c:axId val="1561929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929935"/>
        <c:crosses val="autoZero"/>
        <c:auto val="1"/>
        <c:lblAlgn val="ctr"/>
        <c:lblOffset val="100"/>
        <c:noMultiLvlLbl val="0"/>
      </c:catAx>
      <c:valAx>
        <c:axId val="1561929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192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dos Pedidos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2A9D8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54-409D-88EC-FFC0AAA72677}"/>
              </c:ext>
            </c:extLst>
          </c:dPt>
          <c:dPt>
            <c:idx val="1"/>
            <c:bubble3D val="0"/>
            <c:spPr>
              <a:solidFill>
                <a:srgbClr val="F4A2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854-409D-88EC-FFC0AAA72677}"/>
              </c:ext>
            </c:extLst>
          </c:dPt>
          <c:dPt>
            <c:idx val="2"/>
            <c:bubble3D val="0"/>
            <c:spPr>
              <a:solidFill>
                <a:srgbClr val="9B59B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54-409D-88EC-FFC0AAA72677}"/>
              </c:ext>
            </c:extLst>
          </c:dPt>
          <c:dPt>
            <c:idx val="3"/>
            <c:bubble3D val="0"/>
            <c:spPr>
              <a:solidFill>
                <a:srgbClr val="3498D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854-409D-88EC-FFC0AAA72677}"/>
              </c:ext>
            </c:extLst>
          </c:dPt>
          <c:cat>
            <c:strRef>
              <c:f>Planilha3!$L$3:$L$6</c:f>
              <c:strCache>
                <c:ptCount val="4"/>
                <c:pt idx="0">
                  <c:v>Entregue</c:v>
                </c:pt>
                <c:pt idx="1">
                  <c:v>Em Preparo</c:v>
                </c:pt>
                <c:pt idx="2">
                  <c:v>Pronto</c:v>
                </c:pt>
                <c:pt idx="3">
                  <c:v>Saiu Entrega</c:v>
                </c:pt>
              </c:strCache>
            </c:strRef>
          </c:cat>
          <c:val>
            <c:numRef>
              <c:f>Planilha3!$M$3:$M$6</c:f>
              <c:numCache>
                <c:formatCode>General</c:formatCode>
                <c:ptCount val="4"/>
                <c:pt idx="0">
                  <c:v>22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4-409D-88EC-FFC0AAA72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Saúde do Estoque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DA-41D3-AD3B-15166F53F31D}"/>
              </c:ext>
            </c:extLst>
          </c:dPt>
          <c:dPt>
            <c:idx val="1"/>
            <c:invertIfNegative val="0"/>
            <c:bubble3D val="0"/>
            <c:spPr>
              <a:solidFill>
                <a:srgbClr val="F4A26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1DA-41D3-AD3B-15166F53F31D}"/>
              </c:ext>
            </c:extLst>
          </c:dPt>
          <c:dPt>
            <c:idx val="2"/>
            <c:invertIfNegative val="0"/>
            <c:bubble3D val="0"/>
            <c:spPr>
              <a:solidFill>
                <a:srgbClr val="E639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DA-41D3-AD3B-15166F53F3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Planilha3!$I$3:$I$5</c:f>
              <c:strCache>
                <c:ptCount val="3"/>
                <c:pt idx="0">
                  <c:v>✅ OK</c:v>
                </c:pt>
                <c:pt idx="1">
                  <c:v>⚠️ Baixo</c:v>
                </c:pt>
                <c:pt idx="2">
                  <c:v>🔴 Crítico</c:v>
                </c:pt>
              </c:strCache>
            </c:strRef>
          </c:cat>
          <c:val>
            <c:numRef>
              <c:f>Planilha3!$J$3:$J$5</c:f>
              <c:numCache>
                <c:formatCode>General</c:formatCode>
                <c:ptCount val="3"/>
                <c:pt idx="0">
                  <c:v>30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A-41D3-AD3B-15166F53F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19757632"/>
        <c:axId val="1942427151"/>
      </c:barChart>
      <c:catAx>
        <c:axId val="2019757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2427151"/>
        <c:crosses val="autoZero"/>
        <c:auto val="1"/>
        <c:lblAlgn val="ctr"/>
        <c:lblOffset val="100"/>
        <c:noMultiLvlLbl val="0"/>
      </c:catAx>
      <c:valAx>
        <c:axId val="194242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975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2.xml"/><Relationship Id="rId5" Type="http://schemas.openxmlformats.org/officeDocument/2006/relationships/image" Target="../media/image5.png"/><Relationship Id="rId15" Type="http://schemas.openxmlformats.org/officeDocument/2006/relationships/chart" Target="../charts/chart4.xml"/><Relationship Id="rId10" Type="http://schemas.openxmlformats.org/officeDocument/2006/relationships/chart" Target="../charts/chart1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2</xdr:row>
      <xdr:rowOff>0</xdr:rowOff>
    </xdr:from>
    <xdr:to>
      <xdr:col>10</xdr:col>
      <xdr:colOff>0</xdr:colOff>
      <xdr:row>3</xdr:row>
      <xdr:rowOff>190500</xdr:rowOff>
    </xdr:to>
    <xdr:sp macro="" textlink="">
      <xdr:nvSpPr>
        <xdr:cNvPr id="10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4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Aptos Narrow"/>
            </a:rPr>
            <a:t>Botão 1</a:t>
          </a:r>
        </a:p>
      </xdr:txBody>
    </xdr:sp>
    <xdr:clientData fPrintsWithSheet="0"/>
  </xdr:twoCellAnchor>
  <xdr:twoCellAnchor>
    <xdr:from>
      <xdr:col>21</xdr:col>
      <xdr:colOff>957791</xdr:colOff>
      <xdr:row>27</xdr:row>
      <xdr:rowOff>57151</xdr:rowOff>
    </xdr:from>
    <xdr:to>
      <xdr:col>22</xdr:col>
      <xdr:colOff>691091</xdr:colOff>
      <xdr:row>28</xdr:row>
      <xdr:rowOff>180975</xdr:rowOff>
    </xdr:to>
    <xdr:sp macro="[0]!Imprimir" textlink="">
      <xdr:nvSpPr>
        <xdr:cNvPr id="5" name="Retângulo: Cantos Arredondados 3">
          <a:extLst>
            <a:ext uri="{FF2B5EF4-FFF2-40B4-BE49-F238E27FC236}">
              <a16:creationId xmlns:a16="http://schemas.microsoft.com/office/drawing/2014/main" id="{E8A83EC3-0A0F-4F77-AD71-4269515BBA9A}"/>
            </a:ext>
          </a:extLst>
        </xdr:cNvPr>
        <xdr:cNvSpPr/>
      </xdr:nvSpPr>
      <xdr:spPr>
        <a:xfrm>
          <a:off x="21552958" y="6026151"/>
          <a:ext cx="1278466" cy="335491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IMPRIMIR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432176</xdr:colOff>
      <xdr:row>43</xdr:row>
      <xdr:rowOff>48432</xdr:rowOff>
    </xdr:from>
    <xdr:to>
      <xdr:col>11</xdr:col>
      <xdr:colOff>441736</xdr:colOff>
      <xdr:row>61</xdr:row>
      <xdr:rowOff>130703</xdr:rowOff>
    </xdr:to>
    <xdr:sp macro="" textlink="">
      <xdr:nvSpPr>
        <xdr:cNvPr id="53" name="Retângulo: Cantos Arredondados 52">
          <a:extLst>
            <a:ext uri="{FF2B5EF4-FFF2-40B4-BE49-F238E27FC236}">
              <a16:creationId xmlns:a16="http://schemas.microsoft.com/office/drawing/2014/main" id="{78D43AF2-7581-471E-9F6B-E1052F3898DE}"/>
            </a:ext>
          </a:extLst>
        </xdr:cNvPr>
        <xdr:cNvSpPr/>
      </xdr:nvSpPr>
      <xdr:spPr>
        <a:xfrm>
          <a:off x="432176" y="8378771"/>
          <a:ext cx="6757780" cy="3569390"/>
        </a:xfrm>
        <a:prstGeom prst="roundRect">
          <a:avLst>
            <a:gd name="adj" fmla="val 3351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u="sng"/>
        </a:p>
      </xdr:txBody>
    </xdr:sp>
    <xdr:clientData/>
  </xdr:twoCellAnchor>
  <xdr:twoCellAnchor>
    <xdr:from>
      <xdr:col>12</xdr:col>
      <xdr:colOff>85851</xdr:colOff>
      <xdr:row>43</xdr:row>
      <xdr:rowOff>86532</xdr:rowOff>
    </xdr:from>
    <xdr:to>
      <xdr:col>23</xdr:col>
      <xdr:colOff>95411</xdr:colOff>
      <xdr:row>61</xdr:row>
      <xdr:rowOff>168803</xdr:rowOff>
    </xdr:to>
    <xdr:sp macro="" textlink="">
      <xdr:nvSpPr>
        <xdr:cNvPr id="54" name="Retângulo: Cantos Arredondados 53">
          <a:extLst>
            <a:ext uri="{FF2B5EF4-FFF2-40B4-BE49-F238E27FC236}">
              <a16:creationId xmlns:a16="http://schemas.microsoft.com/office/drawing/2014/main" id="{778209D1-3E3B-4DD0-A8EA-FF9BC3749FCB}"/>
            </a:ext>
          </a:extLst>
        </xdr:cNvPr>
        <xdr:cNvSpPr/>
      </xdr:nvSpPr>
      <xdr:spPr>
        <a:xfrm>
          <a:off x="7447546" y="8416871"/>
          <a:ext cx="6757780" cy="3569390"/>
        </a:xfrm>
        <a:prstGeom prst="roundRect">
          <a:avLst>
            <a:gd name="adj" fmla="val 3351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304800</xdr:colOff>
      <xdr:row>8</xdr:row>
      <xdr:rowOff>142875</xdr:rowOff>
    </xdr:from>
    <xdr:to>
      <xdr:col>4</xdr:col>
      <xdr:colOff>428625</xdr:colOff>
      <xdr:row>17</xdr:row>
      <xdr:rowOff>142875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4450DAA-36D9-7288-BDFA-3348965E6B8F}"/>
            </a:ext>
          </a:extLst>
        </xdr:cNvPr>
        <xdr:cNvSpPr/>
      </xdr:nvSpPr>
      <xdr:spPr>
        <a:xfrm>
          <a:off x="304800" y="1666875"/>
          <a:ext cx="2562225" cy="1714500"/>
        </a:xfrm>
        <a:prstGeom prst="roundRect">
          <a:avLst>
            <a:gd name="adj" fmla="val 7223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38100</xdr:colOff>
      <xdr:row>8</xdr:row>
      <xdr:rowOff>114300</xdr:rowOff>
    </xdr:from>
    <xdr:to>
      <xdr:col>9</xdr:col>
      <xdr:colOff>266700</xdr:colOff>
      <xdr:row>17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E408D0-EA63-42F7-AC65-8FD50E25FC19}"/>
            </a:ext>
          </a:extLst>
        </xdr:cNvPr>
        <xdr:cNvSpPr/>
      </xdr:nvSpPr>
      <xdr:spPr>
        <a:xfrm>
          <a:off x="3086100" y="1638300"/>
          <a:ext cx="2667000" cy="1752600"/>
        </a:xfrm>
        <a:prstGeom prst="roundRect">
          <a:avLst>
            <a:gd name="adj" fmla="val 7223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 u="sng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466725</xdr:colOff>
      <xdr:row>8</xdr:row>
      <xdr:rowOff>133349</xdr:rowOff>
    </xdr:from>
    <xdr:to>
      <xdr:col>14</xdr:col>
      <xdr:colOff>38100</xdr:colOff>
      <xdr:row>17</xdr:row>
      <xdr:rowOff>161924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476CB09-B1B8-4BCD-A63B-F0CC22002B7E}"/>
            </a:ext>
          </a:extLst>
        </xdr:cNvPr>
        <xdr:cNvSpPr/>
      </xdr:nvSpPr>
      <xdr:spPr>
        <a:xfrm>
          <a:off x="5953125" y="1657349"/>
          <a:ext cx="2619375" cy="1743075"/>
        </a:xfrm>
        <a:prstGeom prst="roundRect">
          <a:avLst>
            <a:gd name="adj" fmla="val 7223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266700</xdr:colOff>
      <xdr:row>8</xdr:row>
      <xdr:rowOff>133350</xdr:rowOff>
    </xdr:from>
    <xdr:to>
      <xdr:col>18</xdr:col>
      <xdr:colOff>390525</xdr:colOff>
      <xdr:row>17</xdr:row>
      <xdr:rowOff>133350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3AA2EC9-89C6-49A4-A5FA-7DBF7471D5CE}"/>
            </a:ext>
          </a:extLst>
        </xdr:cNvPr>
        <xdr:cNvSpPr/>
      </xdr:nvSpPr>
      <xdr:spPr>
        <a:xfrm>
          <a:off x="8703129" y="1688452"/>
          <a:ext cx="2534233" cy="1749490"/>
        </a:xfrm>
        <a:prstGeom prst="roundRect">
          <a:avLst>
            <a:gd name="adj" fmla="val 7223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28575</xdr:colOff>
      <xdr:row>8</xdr:row>
      <xdr:rowOff>142875</xdr:rowOff>
    </xdr:from>
    <xdr:to>
      <xdr:col>23</xdr:col>
      <xdr:colOff>152400</xdr:colOff>
      <xdr:row>17</xdr:row>
      <xdr:rowOff>142875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16D016-208B-4E55-AEE2-1D318A70EAC0}"/>
            </a:ext>
          </a:extLst>
        </xdr:cNvPr>
        <xdr:cNvSpPr/>
      </xdr:nvSpPr>
      <xdr:spPr>
        <a:xfrm>
          <a:off x="11610975" y="1666875"/>
          <a:ext cx="2562225" cy="1714500"/>
        </a:xfrm>
        <a:prstGeom prst="roundRect">
          <a:avLst>
            <a:gd name="adj" fmla="val 7223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257174</xdr:colOff>
      <xdr:row>19</xdr:row>
      <xdr:rowOff>38099</xdr:rowOff>
    </xdr:from>
    <xdr:to>
      <xdr:col>11</xdr:col>
      <xdr:colOff>419099</xdr:colOff>
      <xdr:row>40</xdr:row>
      <xdr:rowOff>28575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00A9012-8238-48A3-BF91-CCBD6C689233}"/>
            </a:ext>
          </a:extLst>
        </xdr:cNvPr>
        <xdr:cNvSpPr/>
      </xdr:nvSpPr>
      <xdr:spPr>
        <a:xfrm>
          <a:off x="257174" y="3657599"/>
          <a:ext cx="6867525" cy="3990976"/>
        </a:xfrm>
        <a:prstGeom prst="roundRect">
          <a:avLst>
            <a:gd name="adj" fmla="val 4359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85724</xdr:colOff>
      <xdr:row>19</xdr:row>
      <xdr:rowOff>85724</xdr:rowOff>
    </xdr:from>
    <xdr:to>
      <xdr:col>23</xdr:col>
      <xdr:colOff>247649</xdr:colOff>
      <xdr:row>40</xdr:row>
      <xdr:rowOff>76200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BFF9CB5-F658-4418-BA82-F96F7AC01F8D}"/>
            </a:ext>
          </a:extLst>
        </xdr:cNvPr>
        <xdr:cNvSpPr/>
      </xdr:nvSpPr>
      <xdr:spPr>
        <a:xfrm>
          <a:off x="7400924" y="3705224"/>
          <a:ext cx="6867525" cy="3990976"/>
        </a:xfrm>
        <a:prstGeom prst="roundRect">
          <a:avLst>
            <a:gd name="adj" fmla="val 4359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8</xdr:col>
      <xdr:colOff>183996</xdr:colOff>
      <xdr:row>5</xdr:row>
      <xdr:rowOff>85725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DF044B1-F393-DF51-6F92-ACEE7A891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104775"/>
          <a:ext cx="4860771" cy="93345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9</xdr:row>
      <xdr:rowOff>152400</xdr:rowOff>
    </xdr:from>
    <xdr:to>
      <xdr:col>1</xdr:col>
      <xdr:colOff>400132</xdr:colOff>
      <xdr:row>12</xdr:row>
      <xdr:rowOff>162006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201AD40-C281-5C8F-1065-31B94D58E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1866900"/>
          <a:ext cx="590632" cy="581106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13</xdr:row>
      <xdr:rowOff>28575</xdr:rowOff>
    </xdr:from>
    <xdr:to>
      <xdr:col>2</xdr:col>
      <xdr:colOff>543111</xdr:colOff>
      <xdr:row>14</xdr:row>
      <xdr:rowOff>66707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F62B275B-C776-AC75-59B1-43FCEACA1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" y="2505075"/>
          <a:ext cx="1333686" cy="228632"/>
        </a:xfrm>
        <a:prstGeom prst="rect">
          <a:avLst/>
        </a:prstGeom>
        <a:solidFill>
          <a:schemeClr val="lt1"/>
        </a:solidFill>
        <a:ln w="9525" cmpd="sng">
          <a:noFill/>
        </a:ln>
      </xdr:spPr>
    </xdr:pic>
    <xdr:clientData/>
  </xdr:twoCellAnchor>
  <xdr:twoCellAnchor editAs="oneCell">
    <xdr:from>
      <xdr:col>5</xdr:col>
      <xdr:colOff>180975</xdr:colOff>
      <xdr:row>9</xdr:row>
      <xdr:rowOff>76200</xdr:rowOff>
    </xdr:from>
    <xdr:to>
      <xdr:col>7</xdr:col>
      <xdr:colOff>352619</xdr:colOff>
      <xdr:row>14</xdr:row>
      <xdr:rowOff>85859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2B549B5F-3F25-E149-34EB-218C6ADC2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28975" y="1790700"/>
          <a:ext cx="1390844" cy="962159"/>
        </a:xfrm>
        <a:prstGeom prst="rect">
          <a:avLst/>
        </a:prstGeom>
      </xdr:spPr>
    </xdr:pic>
    <xdr:clientData/>
  </xdr:twoCellAnchor>
  <xdr:twoCellAnchor editAs="oneCell">
    <xdr:from>
      <xdr:col>9</xdr:col>
      <xdr:colOff>542925</xdr:colOff>
      <xdr:row>9</xdr:row>
      <xdr:rowOff>104774</xdr:rowOff>
    </xdr:from>
    <xdr:to>
      <xdr:col>12</xdr:col>
      <xdr:colOff>180792</xdr:colOff>
      <xdr:row>14</xdr:row>
      <xdr:rowOff>66560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3C733560-7490-054E-9637-F89D019EF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29325" y="1819274"/>
          <a:ext cx="1466667" cy="9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333375</xdr:colOff>
      <xdr:row>9</xdr:row>
      <xdr:rowOff>114300</xdr:rowOff>
    </xdr:from>
    <xdr:to>
      <xdr:col>16</xdr:col>
      <xdr:colOff>380842</xdr:colOff>
      <xdr:row>14</xdr:row>
      <xdr:rowOff>85610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45B49280-DAED-7E2B-3969-3F79CABEB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67775" y="1828800"/>
          <a:ext cx="1266667" cy="92381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9</xdr:row>
      <xdr:rowOff>95250</xdr:rowOff>
    </xdr:from>
    <xdr:to>
      <xdr:col>21</xdr:col>
      <xdr:colOff>409383</xdr:colOff>
      <xdr:row>14</xdr:row>
      <xdr:rowOff>76083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83AEB796-C550-1767-6298-015233CE1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677650" y="1809750"/>
          <a:ext cx="1533333" cy="933333"/>
        </a:xfrm>
        <a:prstGeom prst="rect">
          <a:avLst/>
        </a:prstGeom>
      </xdr:spPr>
    </xdr:pic>
    <xdr:clientData/>
  </xdr:twoCellAnchor>
  <xdr:twoCellAnchor>
    <xdr:from>
      <xdr:col>0</xdr:col>
      <xdr:colOff>504825</xdr:colOff>
      <xdr:row>14</xdr:row>
      <xdr:rowOff>66675</xdr:rowOff>
    </xdr:from>
    <xdr:to>
      <xdr:col>3</xdr:col>
      <xdr:colOff>476250</xdr:colOff>
      <xdr:row>16</xdr:row>
      <xdr:rowOff>28575</xdr:rowOff>
    </xdr:to>
    <xdr:sp macro="" textlink="Planilha3!C5">
      <xdr:nvSpPr>
        <xdr:cNvPr id="18" name="CaixaDeTexto 17">
          <a:extLst>
            <a:ext uri="{FF2B5EF4-FFF2-40B4-BE49-F238E27FC236}">
              <a16:creationId xmlns:a16="http://schemas.microsoft.com/office/drawing/2014/main" id="{DD8B0AA6-5992-B959-60C2-2F6203FA323E}"/>
            </a:ext>
          </a:extLst>
        </xdr:cNvPr>
        <xdr:cNvSpPr txBox="1"/>
      </xdr:nvSpPr>
      <xdr:spPr>
        <a:xfrm>
          <a:off x="504825" y="2733675"/>
          <a:ext cx="1800225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0D6867C1-5341-4347-9755-AF660C3DF4D1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R$ 19.427,02</a:t>
          </a:fld>
          <a:endParaRPr lang="en-US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200025</xdr:colOff>
      <xdr:row>14</xdr:row>
      <xdr:rowOff>76200</xdr:rowOff>
    </xdr:from>
    <xdr:to>
      <xdr:col>8</xdr:col>
      <xdr:colOff>171450</xdr:colOff>
      <xdr:row>16</xdr:row>
      <xdr:rowOff>38100</xdr:rowOff>
    </xdr:to>
    <xdr:sp macro="" textlink="Planilha3!C6">
      <xdr:nvSpPr>
        <xdr:cNvPr id="11" name="CaixaDeTexto 10">
          <a:extLst>
            <a:ext uri="{FF2B5EF4-FFF2-40B4-BE49-F238E27FC236}">
              <a16:creationId xmlns:a16="http://schemas.microsoft.com/office/drawing/2014/main" id="{386840EF-4569-4B0B-BCCB-7336519AC137}"/>
            </a:ext>
          </a:extLst>
        </xdr:cNvPr>
        <xdr:cNvSpPr txBox="1"/>
      </xdr:nvSpPr>
      <xdr:spPr>
        <a:xfrm>
          <a:off x="3248025" y="2743200"/>
          <a:ext cx="1800225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C136DC8-DAA7-494D-A4B9-656319E40FBC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R$ 14.950,29</a:t>
          </a:fld>
          <a:endParaRPr lang="en-US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590550</xdr:colOff>
      <xdr:row>14</xdr:row>
      <xdr:rowOff>47625</xdr:rowOff>
    </xdr:from>
    <xdr:to>
      <xdr:col>12</xdr:col>
      <xdr:colOff>561975</xdr:colOff>
      <xdr:row>16</xdr:row>
      <xdr:rowOff>9525</xdr:rowOff>
    </xdr:to>
    <xdr:sp macro="" textlink="Planilha3!$C$7">
      <xdr:nvSpPr>
        <xdr:cNvPr id="17" name="CaixaDeTexto 16">
          <a:extLst>
            <a:ext uri="{FF2B5EF4-FFF2-40B4-BE49-F238E27FC236}">
              <a16:creationId xmlns:a16="http://schemas.microsoft.com/office/drawing/2014/main" id="{970669AC-971B-4C5A-89B1-6820E0B761AE}"/>
            </a:ext>
          </a:extLst>
        </xdr:cNvPr>
        <xdr:cNvSpPr txBox="1"/>
      </xdr:nvSpPr>
      <xdr:spPr>
        <a:xfrm>
          <a:off x="6076950" y="2714625"/>
          <a:ext cx="1800225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4506025-A1E0-40EE-8427-CB060BC833FB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76,96%</a:t>
          </a:fld>
          <a:endParaRPr lang="en-US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400050</xdr:colOff>
      <xdr:row>14</xdr:row>
      <xdr:rowOff>38100</xdr:rowOff>
    </xdr:from>
    <xdr:to>
      <xdr:col>17</xdr:col>
      <xdr:colOff>371475</xdr:colOff>
      <xdr:row>16</xdr:row>
      <xdr:rowOff>0</xdr:rowOff>
    </xdr:to>
    <xdr:sp macro="" textlink="Planilha3!$C$8">
      <xdr:nvSpPr>
        <xdr:cNvPr id="19" name="CaixaDeTexto 18">
          <a:extLst>
            <a:ext uri="{FF2B5EF4-FFF2-40B4-BE49-F238E27FC236}">
              <a16:creationId xmlns:a16="http://schemas.microsoft.com/office/drawing/2014/main" id="{FD4EF2B8-F1D0-4798-8E51-A8B928670166}"/>
            </a:ext>
          </a:extLst>
        </xdr:cNvPr>
        <xdr:cNvSpPr txBox="1"/>
      </xdr:nvSpPr>
      <xdr:spPr>
        <a:xfrm>
          <a:off x="8934450" y="2705100"/>
          <a:ext cx="1800225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462BA15-7051-40D0-A766-9D940FBC9BE3}" type="TxLink">
            <a:rPr lang="en-US" sz="20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/>
            <a:t>R$ 719,52</a:t>
          </a:fld>
          <a:endParaRPr lang="en-US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152400</xdr:colOff>
      <xdr:row>14</xdr:row>
      <xdr:rowOff>38100</xdr:rowOff>
    </xdr:from>
    <xdr:to>
      <xdr:col>22</xdr:col>
      <xdr:colOff>123825</xdr:colOff>
      <xdr:row>16</xdr:row>
      <xdr:rowOff>0</xdr:rowOff>
    </xdr:to>
    <xdr:sp macro="" textlink="Planilha3!$C$9">
      <xdr:nvSpPr>
        <xdr:cNvPr id="20" name="CaixaDeTexto 19">
          <a:extLst>
            <a:ext uri="{FF2B5EF4-FFF2-40B4-BE49-F238E27FC236}">
              <a16:creationId xmlns:a16="http://schemas.microsoft.com/office/drawing/2014/main" id="{597E5327-954C-4698-A698-75C7C27ED79E}"/>
            </a:ext>
          </a:extLst>
        </xdr:cNvPr>
        <xdr:cNvSpPr txBox="1"/>
      </xdr:nvSpPr>
      <xdr:spPr>
        <a:xfrm>
          <a:off x="11734800" y="2705100"/>
          <a:ext cx="1800225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B5EAD71-8DAE-473B-9AEC-CBE00C649595}" type="TxLink">
            <a:rPr lang="en-US" sz="11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t>0</a:t>
          </a:fld>
          <a:endParaRPr lang="en-US" sz="20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608565</xdr:colOff>
      <xdr:row>44</xdr:row>
      <xdr:rowOff>9925</xdr:rowOff>
    </xdr:from>
    <xdr:to>
      <xdr:col>5</xdr:col>
      <xdr:colOff>201235</xdr:colOff>
      <xdr:row>46</xdr:row>
      <xdr:rowOff>150573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5989CFDF-C29A-4B26-BF70-1F445B88E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8565" y="8533993"/>
          <a:ext cx="2660043" cy="528105"/>
        </a:xfrm>
        <a:prstGeom prst="rect">
          <a:avLst/>
        </a:prstGeom>
      </xdr:spPr>
    </xdr:pic>
    <xdr:clientData/>
  </xdr:twoCellAnchor>
  <xdr:twoCellAnchor editAs="oneCell">
    <xdr:from>
      <xdr:col>12</xdr:col>
      <xdr:colOff>252832</xdr:colOff>
      <xdr:row>44</xdr:row>
      <xdr:rowOff>33443</xdr:rowOff>
    </xdr:from>
    <xdr:to>
      <xdr:col>17</xdr:col>
      <xdr:colOff>112238</xdr:colOff>
      <xdr:row>46</xdr:row>
      <xdr:rowOff>59775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C0293EBB-6EF1-4874-BE72-CF24215B3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14527" y="8557511"/>
          <a:ext cx="2926779" cy="413789"/>
        </a:xfrm>
        <a:prstGeom prst="rect">
          <a:avLst/>
        </a:prstGeom>
      </xdr:spPr>
    </xdr:pic>
    <xdr:clientData/>
  </xdr:twoCellAnchor>
  <xdr:twoCellAnchor>
    <xdr:from>
      <xdr:col>12</xdr:col>
      <xdr:colOff>349082</xdr:colOff>
      <xdr:row>22</xdr:row>
      <xdr:rowOff>100263</xdr:rowOff>
    </xdr:from>
    <xdr:to>
      <xdr:col>23</xdr:col>
      <xdr:colOff>200526</xdr:colOff>
      <xdr:row>39</xdr:row>
      <xdr:rowOff>116972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BB5DE0CA-2F67-40EE-B20A-86BF0E5979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507832</xdr:colOff>
      <xdr:row>21</xdr:row>
      <xdr:rowOff>81545</xdr:rowOff>
    </xdr:from>
    <xdr:to>
      <xdr:col>11</xdr:col>
      <xdr:colOff>167106</xdr:colOff>
      <xdr:row>39</xdr:row>
      <xdr:rowOff>100262</xdr:rowOff>
    </xdr:to>
    <xdr:graphicFrame macro="">
      <xdr:nvGraphicFramePr>
        <xdr:cNvPr id="64" name="Gráfico 63">
          <a:extLst>
            <a:ext uri="{FF2B5EF4-FFF2-40B4-BE49-F238E27FC236}">
              <a16:creationId xmlns:a16="http://schemas.microsoft.com/office/drawing/2014/main" id="{32C9AEE3-921A-4CA1-A84E-10B58626B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350921</xdr:colOff>
      <xdr:row>20</xdr:row>
      <xdr:rowOff>66842</xdr:rowOff>
    </xdr:from>
    <xdr:to>
      <xdr:col>18</xdr:col>
      <xdr:colOff>266189</xdr:colOff>
      <xdr:row>22</xdr:row>
      <xdr:rowOff>99317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86CCCD4F-3607-1C54-5F9E-7DCE27BFF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569868" y="3743158"/>
          <a:ext cx="3524742" cy="400106"/>
        </a:xfrm>
        <a:prstGeom prst="rect">
          <a:avLst/>
        </a:prstGeom>
      </xdr:spPr>
    </xdr:pic>
    <xdr:clientData/>
  </xdr:twoCellAnchor>
  <xdr:twoCellAnchor editAs="oneCell">
    <xdr:from>
      <xdr:col>0</xdr:col>
      <xdr:colOff>434474</xdr:colOff>
      <xdr:row>19</xdr:row>
      <xdr:rowOff>150394</xdr:rowOff>
    </xdr:from>
    <xdr:to>
      <xdr:col>5</xdr:col>
      <xdr:colOff>359912</xdr:colOff>
      <xdr:row>23</xdr:row>
      <xdr:rowOff>24655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820CE465-B473-3E32-0B7C-3C6A746C3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34474" y="3642894"/>
          <a:ext cx="2933333" cy="609524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46</xdr:row>
      <xdr:rowOff>83345</xdr:rowOff>
    </xdr:from>
    <xdr:to>
      <xdr:col>11</xdr:col>
      <xdr:colOff>23812</xdr:colOff>
      <xdr:row>60</xdr:row>
      <xdr:rowOff>11907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66060EF8-FC1F-45DE-A689-36300C01D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357186</xdr:colOff>
      <xdr:row>46</xdr:row>
      <xdr:rowOff>178594</xdr:rowOff>
    </xdr:from>
    <xdr:to>
      <xdr:col>22</xdr:col>
      <xdr:colOff>396874</xdr:colOff>
      <xdr:row>59</xdr:row>
      <xdr:rowOff>19843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5E20E2F2-323F-47DC-AEB6-BD27F8FA1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423241</xdr:colOff>
      <xdr:row>6</xdr:row>
      <xdr:rowOff>62120</xdr:rowOff>
    </xdr:from>
    <xdr:to>
      <xdr:col>13</xdr:col>
      <xdr:colOff>82826</xdr:colOff>
      <xdr:row>18</xdr:row>
      <xdr:rowOff>82826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530E2F9-CC2E-F42D-3462-2C7317BA85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50523</xdr:colOff>
      <xdr:row>2</xdr:row>
      <xdr:rowOff>82829</xdr:rowOff>
    </xdr:from>
    <xdr:to>
      <xdr:col>20</xdr:col>
      <xdr:colOff>579782</xdr:colOff>
      <xdr:row>15</xdr:row>
      <xdr:rowOff>144948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9A1B8303-0448-5A9D-7B8E-7F8761747F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177800</xdr:rowOff>
    </xdr:from>
    <xdr:to>
      <xdr:col>4</xdr:col>
      <xdr:colOff>0</xdr:colOff>
      <xdr:row>48</xdr:row>
      <xdr:rowOff>177800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570CF6-889D-3F75-C4E0-31AFDA52B7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26</xdr:row>
      <xdr:rowOff>0</xdr:rowOff>
    </xdr:from>
    <xdr:to>
      <xdr:col>8</xdr:col>
      <xdr:colOff>0</xdr:colOff>
      <xdr:row>44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80D8536-5AC6-631D-8B0A-3B1C65234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18</xdr:col>
      <xdr:colOff>0</xdr:colOff>
      <xdr:row>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7064219-5F59-A5C9-EF5B-9C7FB07A0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7FED9FB-EC5C-0CB9-516F-70356F548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C88018-E7B1-4C23-8115-2DE6E0DEB827}" name="tbl_Estoque" displayName="tbl_Estoque" ref="A4:I40" totalsRowShown="0" headerRowDxfId="58" dataDxfId="56" headerRowBorderDxfId="57" tableBorderDxfId="55" totalsRowBorderDxfId="54">
  <autoFilter ref="A4:I40" xr:uid="{C7C88018-E7B1-4C23-8115-2DE6E0DEB827}"/>
  <tableColumns count="9">
    <tableColumn id="1" xr3:uid="{20FA5EB3-801B-41EF-B9EC-5D2806C8598C}" name="ID" dataDxfId="53"/>
    <tableColumn id="2" xr3:uid="{B397A1C8-77B6-4295-8886-F667E8FE33B0}" name="Ingrediente" dataDxfId="52"/>
    <tableColumn id="3" xr3:uid="{3BFD85F8-87AB-4BF3-BD0E-9D995C4AA774}" name="Unidade" dataDxfId="51"/>
    <tableColumn id="4" xr3:uid="{BFED79C8-CA8D-4C06-B373-07B0152B1D57}" name="Quantidade" dataDxfId="50"/>
    <tableColumn id="5" xr3:uid="{971DD4D7-7C86-4ACD-AEEF-88D11E64B310}" name="Custo Unitário" dataDxfId="49"/>
    <tableColumn id="6" xr3:uid="{883108F7-51E8-4367-BC7C-7EAB1CCDFC12}" name="Custo Total" dataDxfId="48">
      <calculatedColumnFormula>IF(tbl_Estoque[[#This Row],[Quantidade]]="","",tbl_Estoque[[#This Row],[Quantidade]]*tbl_Estoque[[#This Row],[Custo Unitário]])</calculatedColumnFormula>
    </tableColumn>
    <tableColumn id="7" xr3:uid="{7FDB3BB5-9F77-47AE-A9AD-6FAC48B9AD9D}" name="Estoque Mínimo" dataDxfId="47"/>
    <tableColumn id="8" xr3:uid="{D073D818-5C44-4207-9523-130A67F89CB1}" name="Fornecedor" dataDxfId="46"/>
    <tableColumn id="9" xr3:uid="{37FDD48D-6F5E-40A3-90F5-1F83E1C42B78}" name="Status" dataDxfId="45">
      <calculatedColumnFormula>IF(tbl_Estoque[[#This Row],[Quantidade]]="", "", IF(tbl_Estoque[[#This Row],[Quantidade]]&lt;tbl_Estoque[[#This Row],[Estoque Mínimo]]*0.5, "Crítico", IF(tbl_Estoque[[#This Row],[Quantidade]]&lt;tbl_Estoque[[#This Row],[Estoque Mínimo]], "Baixo", "OK")))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204268-E9DA-4F5C-8C83-5374F6F8C6F3}" name="tbl_Pizzas" displayName="tbl_Pizzas" ref="A4:H39" totalsRowShown="0" headerRowDxfId="44" dataDxfId="42" headerRowBorderDxfId="43" tableBorderDxfId="41" totalsRowBorderDxfId="40">
  <autoFilter ref="A4:H39" xr:uid="{2C204268-E9DA-4F5C-8C83-5374F6F8C6F3}"/>
  <tableColumns count="8">
    <tableColumn id="1" xr3:uid="{93D982FE-5413-4DC6-AB44-272F50509E24}" name="ID" dataDxfId="39"/>
    <tableColumn id="2" xr3:uid="{479A2995-928A-46A3-A6CB-12107223CC1C}" name="Nome" dataDxfId="38"/>
    <tableColumn id="3" xr3:uid="{47A6DB29-96A6-48B3-B1F3-5EF8BBB1ED9B}" name="Tamanho" dataDxfId="37"/>
    <tableColumn id="4" xr3:uid="{45CE2717-0F9D-4466-B8F0-D3AD0BE488D6}" name="Descrição" dataDxfId="36"/>
    <tableColumn id="5" xr3:uid="{BF2EF260-8BA2-4249-A816-A1E49E1A6F50}" name="Margem Lucro %" dataDxfId="35"/>
    <tableColumn id="8" xr3:uid="{95D061EC-896E-4CB8-907B-23C5551C74BB}" name="Preço Venda" dataDxfId="34">
      <calculatedColumnFormula>IF(VLOOKUP(tbl_Pizzas[[#This Row],[ID]],tbl_FichaTecnica[[ID]:[Custo Total da Pizza]],8,FALSE)=0,0,ROUNDUP(VLOOKUP(tbl_Pizzas[[#This Row],[ID]],tbl_FichaTecnica[[ID]:[Custo Total da Pizza]],8,FALSE)/(1-tbl_Pizzas[[#This Row],[Margem Lucro %]]),0)-0.01)</calculatedColumnFormula>
    </tableColumn>
    <tableColumn id="9" xr3:uid="{8E600606-5F26-410C-8CC4-AB6C81882D41}" name="Lucro Líquido (R$)" dataDxfId="33">
      <calculatedColumnFormula>tbl_Pizzas[[#This Row],[Preço Venda]]-VLOOKUP(tbl_Pizzas[[#This Row],[ID]],tbl_FichaTecnica[[ID]:[Custo Total da Pizza]],8,FALSE)</calculatedColumnFormula>
    </tableColumn>
    <tableColumn id="10" xr3:uid="{31FD0BC8-EB3F-439B-936E-58591FF13A60}" name="Lucro %" dataDxfId="26" dataCellStyle="Porcentagem">
      <calculatedColumnFormula>IF(tbl_Pizzas[[#This Row],[Preço Venda]]=0,0,tbl_Pizzas[[#This Row],[Lucro Líquido (R$)]]/tbl_Pizzas[[#This Row],[Preço Venda]])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9CAFFF-5A23-456E-B8F9-73BE4F88411D}" name="tbl_FichaTecnica" displayName="tbl_FichaTecnica" ref="A4:H210" totalsRowCount="1" headerRowDxfId="32" dataDxfId="30" totalsRowDxfId="28" headerRowBorderDxfId="31" tableBorderDxfId="29" totalsRowBorderDxfId="27">
  <autoFilter ref="A4:H209" xr:uid="{C39CAFFF-5A23-456E-B8F9-73BE4F88411D}"/>
  <tableColumns count="8">
    <tableColumn id="1" xr3:uid="{40989F57-132B-436A-AECA-1A63698B2CE4}" name="ID" dataDxfId="15" totalsRowDxfId="14"/>
    <tableColumn id="2" xr3:uid="{1F5D3C7B-5FDE-468B-88EC-56535DF37104}" name="Nome Pizza" dataDxfId="13" totalsRowDxfId="12"/>
    <tableColumn id="3" xr3:uid="{05AC27EE-6BBA-42A1-AA90-FF2D1F8C548F}" name="Ingrediente" dataDxfId="11" totalsRowDxfId="10"/>
    <tableColumn id="4" xr3:uid="{B57C9A8D-67AD-46CE-852B-F2C0A6DEFEFF}" name="Quantidade Usada" dataDxfId="9" totalsRowDxfId="8"/>
    <tableColumn id="5" xr3:uid="{EB0CF545-04E7-4A67-887E-81D1E2EF1886}" name="Unidade" dataDxfId="7" totalsRowDxfId="6"/>
    <tableColumn id="6" xr3:uid="{44012577-19C7-4801-9E08-6F521CE2DFBB}" name="Custo Unitário" dataDxfId="5" totalsRowDxfId="4"/>
    <tableColumn id="7" xr3:uid="{6779E7EF-4A25-4382-A20A-CDD51681CCE2}" name="Custo Parcial" totalsRowFunction="custom" dataDxfId="3" totalsRowDxfId="2">
      <calculatedColumnFormula>IF(D5="", "", D5 * F5)</calculatedColumnFormula>
      <totalsRowFormula>IF(D210&lt;&gt;"",D210*F210,"")</totalsRowFormula>
    </tableColumn>
    <tableColumn id="8" xr3:uid="{B6293BD9-9469-4EBF-A053-0F1523AB2423}" name="Custo Total da Pizza" totalsRowFunction="custom" dataDxfId="1" totalsRowDxfId="0">
      <calculatedColumnFormula>IF(tbl_FichaTecnica[[#This Row],[ID]]="", "", SUMIF(tbl_FichaTecnica[ID], tbl_FichaTecnica[[#This Row],[ID]], tbl_FichaTecnica[Custo Parcial]))</calculatedColumnFormula>
      <totalsRowFormula>IF(A210&lt;&gt;"",SUMIF(tbl_FichaTecnica[ID],A210,tbl_FichaTecnica[Custo Parcial]),"")</totalsRow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335D-AFA3-4FF2-9321-8F9D1093174F}">
  <sheetPr codeName="Sheet4"/>
  <dimension ref="A1:AD45"/>
  <sheetViews>
    <sheetView showGridLines="0" topLeftCell="F16" zoomScale="115" zoomScaleNormal="115" workbookViewId="0">
      <selection activeCell="O33" sqref="O33"/>
    </sheetView>
  </sheetViews>
  <sheetFormatPr defaultRowHeight="15" x14ac:dyDescent="0.25"/>
  <cols>
    <col min="1" max="1" width="4.7109375" style="1" bestFit="1" customWidth="1"/>
    <col min="2" max="2" width="13.85546875" style="49" bestFit="1" customWidth="1"/>
    <col min="3" max="3" width="10.7109375" style="55" bestFit="1" customWidth="1"/>
    <col min="4" max="4" width="20" style="1" customWidth="1"/>
    <col min="5" max="5" width="16.5703125" style="1" bestFit="1" customWidth="1"/>
    <col min="6" max="6" width="28.140625" style="1" bestFit="1" customWidth="1"/>
    <col min="7" max="7" width="5.140625" style="6" bestFit="1" customWidth="1"/>
    <col min="8" max="8" width="12.42578125" style="4" bestFit="1" customWidth="1"/>
    <col min="9" max="9" width="16.42578125" style="4" bestFit="1" customWidth="1"/>
    <col min="10" max="10" width="12.85546875" style="1" bestFit="1" customWidth="1"/>
    <col min="11" max="11" width="15" style="1" bestFit="1" customWidth="1"/>
    <col min="12" max="12" width="9" style="1" bestFit="1" customWidth="1"/>
    <col min="13" max="13" width="15.140625" style="1" bestFit="1" customWidth="1"/>
    <col min="14" max="14" width="23.28515625" style="1" bestFit="1" customWidth="1"/>
    <col min="15" max="15" width="25.28515625" style="4" bestFit="1" customWidth="1"/>
    <col min="16" max="16" width="17.140625" style="26" customWidth="1"/>
    <col min="17" max="17" width="23.28515625" style="1" bestFit="1" customWidth="1"/>
    <col min="18" max="18" width="20.7109375" style="1" bestFit="1" customWidth="1"/>
    <col min="19" max="19" width="11.5703125" style="244" customWidth="1"/>
    <col min="20" max="20" width="11.5703125" style="1" customWidth="1"/>
    <col min="21" max="21" width="5.7109375" style="1" customWidth="1"/>
    <col min="22" max="22" width="23.140625" style="1" bestFit="1" customWidth="1"/>
    <col min="23" max="23" width="24.7109375" style="1" bestFit="1" customWidth="1"/>
    <col min="24" max="16384" width="9.140625" style="1"/>
  </cols>
  <sheetData>
    <row r="1" spans="1:30" ht="33" x14ac:dyDescent="0.25">
      <c r="A1" s="239" t="s">
        <v>145</v>
      </c>
      <c r="B1" s="239"/>
      <c r="C1" s="239"/>
      <c r="D1" s="239"/>
      <c r="E1" s="239"/>
      <c r="F1" s="239"/>
      <c r="G1" s="239"/>
      <c r="H1" s="239"/>
      <c r="I1" s="240"/>
      <c r="J1" s="239"/>
      <c r="K1" s="239"/>
      <c r="L1" s="239"/>
      <c r="M1" s="239"/>
      <c r="N1" s="37"/>
      <c r="Y1"/>
      <c r="Z1"/>
    </row>
    <row r="2" spans="1:30" x14ac:dyDescent="0.25">
      <c r="F2" s="241">
        <f ca="1">NOW()</f>
        <v>46127.428972106478</v>
      </c>
      <c r="G2" s="242"/>
      <c r="H2" s="242"/>
      <c r="I2" s="243"/>
      <c r="J2" s="242"/>
      <c r="Y2"/>
      <c r="Z2"/>
    </row>
    <row r="3" spans="1:30" x14ac:dyDescent="0.25">
      <c r="Y3"/>
      <c r="Z3"/>
    </row>
    <row r="4" spans="1:30" ht="20.25" x14ac:dyDescent="0.25">
      <c r="A4" s="30" t="s">
        <v>199</v>
      </c>
      <c r="B4" s="50" t="s">
        <v>45</v>
      </c>
      <c r="C4" s="56" t="s">
        <v>216</v>
      </c>
      <c r="D4" s="30" t="s">
        <v>148</v>
      </c>
      <c r="E4" s="30" t="s">
        <v>149</v>
      </c>
      <c r="F4" s="30" t="s">
        <v>46</v>
      </c>
      <c r="G4" s="46" t="s">
        <v>146</v>
      </c>
      <c r="H4" s="30" t="s">
        <v>147</v>
      </c>
      <c r="I4" s="31" t="s">
        <v>111</v>
      </c>
      <c r="J4" s="30" t="s">
        <v>150</v>
      </c>
      <c r="K4" s="30" t="s">
        <v>151</v>
      </c>
      <c r="L4" s="30" t="s">
        <v>152</v>
      </c>
      <c r="M4" s="30" t="s">
        <v>153</v>
      </c>
      <c r="N4" s="30" t="s">
        <v>154</v>
      </c>
      <c r="O4" s="31" t="s">
        <v>287</v>
      </c>
      <c r="P4" s="22"/>
      <c r="Q4" s="236" t="s">
        <v>279</v>
      </c>
      <c r="R4" s="236"/>
      <c r="U4" s="27"/>
      <c r="V4" s="13"/>
      <c r="W4" s="13"/>
      <c r="X4"/>
      <c r="Y4"/>
      <c r="Z4"/>
    </row>
    <row r="5" spans="1:30" ht="16.5" x14ac:dyDescent="0.25">
      <c r="A5" s="42">
        <v>1</v>
      </c>
      <c r="B5" s="51">
        <v>45765.599675925929</v>
      </c>
      <c r="C5" s="57">
        <f t="shared" ref="C5:C30" si="0">MOD(B5,1)</f>
        <v>0.59967592592875008</v>
      </c>
      <c r="D5" s="32" t="s">
        <v>254</v>
      </c>
      <c r="E5" s="32" t="s">
        <v>255</v>
      </c>
      <c r="F5" s="33" t="s">
        <v>54</v>
      </c>
      <c r="G5" s="42">
        <v>100</v>
      </c>
      <c r="H5" s="33">
        <v>116.99</v>
      </c>
      <c r="I5" s="33">
        <f t="shared" ref="I5:I30" si="1">IF(G5="","",IF(ISERROR(SEARCH("aniversariante",N5)),G5*H5,G5*H5*0.9))</f>
        <v>11699</v>
      </c>
      <c r="J5" s="33" t="s">
        <v>180</v>
      </c>
      <c r="K5" s="33" t="s">
        <v>187</v>
      </c>
      <c r="L5" s="33" t="s">
        <v>194</v>
      </c>
      <c r="M5" s="33" t="s">
        <v>183</v>
      </c>
      <c r="N5" s="33" t="s">
        <v>256</v>
      </c>
      <c r="O5" s="33" t="str">
        <f t="shared" ref="O5:O34" si="2">IF(OR(G5="",ISERROR(SEARCH("aniversariante",N5))),"",G5*H5*0.1)</f>
        <v/>
      </c>
      <c r="P5" s="28"/>
      <c r="Q5" s="39" t="s">
        <v>155</v>
      </c>
      <c r="R5" s="44">
        <f>COUNTIF(F5:F34,"&lt;&gt;")</f>
        <v>28</v>
      </c>
      <c r="V5" s="248" t="s">
        <v>202</v>
      </c>
      <c r="W5" s="248"/>
      <c r="X5"/>
      <c r="Y5"/>
      <c r="Z5"/>
    </row>
    <row r="6" spans="1:30" ht="15.75" customHeight="1" x14ac:dyDescent="0.25">
      <c r="A6" s="43">
        <v>2</v>
      </c>
      <c r="B6" s="52">
        <v>45774.818425925929</v>
      </c>
      <c r="C6" s="58">
        <f t="shared" si="0"/>
        <v>0.81842592592875008</v>
      </c>
      <c r="D6" s="35" t="s">
        <v>220</v>
      </c>
      <c r="E6" s="35" t="s">
        <v>221</v>
      </c>
      <c r="F6" s="36" t="s">
        <v>53</v>
      </c>
      <c r="G6" s="43">
        <v>2</v>
      </c>
      <c r="H6" s="36">
        <v>94.99</v>
      </c>
      <c r="I6" s="36">
        <f t="shared" si="1"/>
        <v>189.98</v>
      </c>
      <c r="J6" s="36" t="s">
        <v>180</v>
      </c>
      <c r="K6" s="36" t="s">
        <v>181</v>
      </c>
      <c r="L6" s="36" t="s">
        <v>194</v>
      </c>
      <c r="M6" s="36" t="s">
        <v>183</v>
      </c>
      <c r="N6" s="36" t="s">
        <v>222</v>
      </c>
      <c r="O6" s="36" t="str">
        <f t="shared" si="2"/>
        <v/>
      </c>
      <c r="P6" s="28"/>
      <c r="Q6" s="39" t="s">
        <v>156</v>
      </c>
      <c r="R6" s="44">
        <f>SUM(G5:G34)</f>
        <v>174</v>
      </c>
      <c r="V6" s="248"/>
      <c r="W6" s="248"/>
      <c r="X6"/>
      <c r="Y6"/>
      <c r="Z6"/>
    </row>
    <row r="7" spans="1:30" ht="16.5" x14ac:dyDescent="0.25">
      <c r="A7" s="42">
        <v>3</v>
      </c>
      <c r="B7" s="51">
        <v>45790.839259259257</v>
      </c>
      <c r="C7" s="57">
        <f t="shared" si="0"/>
        <v>0.83925925925723277</v>
      </c>
      <c r="D7" s="32" t="s">
        <v>257</v>
      </c>
      <c r="E7" s="32" t="s">
        <v>258</v>
      </c>
      <c r="F7" s="33" t="s">
        <v>64</v>
      </c>
      <c r="G7" s="42">
        <v>3</v>
      </c>
      <c r="H7" s="33">
        <v>107.99</v>
      </c>
      <c r="I7" s="33">
        <f t="shared" si="1"/>
        <v>323.96999999999997</v>
      </c>
      <c r="J7" s="33" t="s">
        <v>180</v>
      </c>
      <c r="K7" s="36" t="s">
        <v>181</v>
      </c>
      <c r="L7" s="33" t="s">
        <v>188</v>
      </c>
      <c r="M7" s="33" t="s">
        <v>183</v>
      </c>
      <c r="N7" s="33" t="s">
        <v>259</v>
      </c>
      <c r="O7" s="33" t="str">
        <f t="shared" si="2"/>
        <v/>
      </c>
      <c r="P7" s="28"/>
      <c r="Q7" s="39" t="s">
        <v>157</v>
      </c>
      <c r="R7" s="40">
        <f>SUM(I5:I34)</f>
        <v>19628.584000000003</v>
      </c>
      <c r="V7" s="246" t="s">
        <v>217</v>
      </c>
      <c r="W7" s="246"/>
      <c r="X7"/>
      <c r="Y7"/>
      <c r="Z7"/>
    </row>
    <row r="8" spans="1:30" ht="16.5" x14ac:dyDescent="0.25">
      <c r="A8" s="43">
        <v>4</v>
      </c>
      <c r="B8" s="52">
        <v>45815.870509259257</v>
      </c>
      <c r="C8" s="58">
        <f t="shared" si="0"/>
        <v>0.87050925925723277</v>
      </c>
      <c r="D8" s="35" t="s">
        <v>232</v>
      </c>
      <c r="E8" s="35" t="s">
        <v>233</v>
      </c>
      <c r="F8" s="36" t="s">
        <v>81</v>
      </c>
      <c r="G8" s="43">
        <v>2</v>
      </c>
      <c r="H8" s="36">
        <v>91.99</v>
      </c>
      <c r="I8" s="36">
        <f t="shared" si="1"/>
        <v>183.98</v>
      </c>
      <c r="J8" s="36" t="s">
        <v>196</v>
      </c>
      <c r="K8" s="36" t="s">
        <v>181</v>
      </c>
      <c r="L8" s="36" t="s">
        <v>188</v>
      </c>
      <c r="M8" s="36" t="s">
        <v>183</v>
      </c>
      <c r="N8" s="36"/>
      <c r="O8" s="36" t="str">
        <f t="shared" si="2"/>
        <v/>
      </c>
      <c r="P8" s="28"/>
      <c r="Q8" s="39" t="s">
        <v>280</v>
      </c>
      <c r="R8" s="48" t="str">
        <f>TEXT(MIN(B5:B30),"DD/MM/AA")&amp;" a "&amp;TEXT(MAX(B5:B30),"DD/MM/AA")</f>
        <v>18/04/25 a 12/04/26</v>
      </c>
      <c r="V8" s="13"/>
      <c r="W8" s="13"/>
      <c r="X8"/>
      <c r="Y8"/>
      <c r="Z8"/>
    </row>
    <row r="9" spans="1:30" ht="16.5" x14ac:dyDescent="0.25">
      <c r="A9" s="42">
        <v>5</v>
      </c>
      <c r="B9" s="51">
        <v>45834.766342592593</v>
      </c>
      <c r="C9" s="57">
        <f t="shared" si="0"/>
        <v>0.76634259259299142</v>
      </c>
      <c r="D9" s="32" t="s">
        <v>218</v>
      </c>
      <c r="E9" s="32" t="s">
        <v>219</v>
      </c>
      <c r="F9" s="33" t="s">
        <v>87</v>
      </c>
      <c r="G9" s="42">
        <v>1</v>
      </c>
      <c r="H9" s="33">
        <v>79.989999999999995</v>
      </c>
      <c r="I9" s="33">
        <f t="shared" si="1"/>
        <v>79.989999999999995</v>
      </c>
      <c r="J9" s="33" t="s">
        <v>180</v>
      </c>
      <c r="K9" s="36" t="s">
        <v>181</v>
      </c>
      <c r="L9" s="33" t="s">
        <v>182</v>
      </c>
      <c r="M9" s="33" t="s">
        <v>183</v>
      </c>
      <c r="N9" s="33" t="s">
        <v>184</v>
      </c>
      <c r="O9" s="33" t="str">
        <f t="shared" si="2"/>
        <v/>
      </c>
      <c r="P9" s="28"/>
      <c r="Q9" s="39" t="s">
        <v>158</v>
      </c>
      <c r="R9" s="44">
        <f>COUNTIF(J5:J34,"Pago")</f>
        <v>25</v>
      </c>
      <c r="V9" s="14" t="s">
        <v>212</v>
      </c>
      <c r="W9" s="15">
        <v>14</v>
      </c>
      <c r="X9"/>
      <c r="Y9"/>
      <c r="Z9"/>
    </row>
    <row r="10" spans="1:30" ht="18.75" x14ac:dyDescent="0.25">
      <c r="A10" s="43">
        <v>6</v>
      </c>
      <c r="B10" s="52">
        <v>45851.828842592593</v>
      </c>
      <c r="C10" s="58">
        <f t="shared" si="0"/>
        <v>0.82884259259299142</v>
      </c>
      <c r="D10" s="35" t="s">
        <v>229</v>
      </c>
      <c r="E10" s="35" t="s">
        <v>230</v>
      </c>
      <c r="F10" s="36" t="s">
        <v>88</v>
      </c>
      <c r="G10" s="43">
        <v>1</v>
      </c>
      <c r="H10" s="36">
        <v>75.989999999999995</v>
      </c>
      <c r="I10" s="36">
        <f t="shared" si="1"/>
        <v>75.989999999999995</v>
      </c>
      <c r="J10" s="36" t="s">
        <v>180</v>
      </c>
      <c r="K10" s="36" t="s">
        <v>181</v>
      </c>
      <c r="L10" s="36" t="s">
        <v>194</v>
      </c>
      <c r="M10" s="36" t="s">
        <v>183</v>
      </c>
      <c r="N10" s="36" t="s">
        <v>231</v>
      </c>
      <c r="O10" s="36" t="str">
        <f t="shared" si="2"/>
        <v/>
      </c>
      <c r="P10" s="28"/>
      <c r="Q10" s="39" t="s">
        <v>159</v>
      </c>
      <c r="R10" s="44">
        <f>COUNTIF(J5:J34,"Pendente")</f>
        <v>1</v>
      </c>
      <c r="V10" s="14" t="s">
        <v>204</v>
      </c>
      <c r="W10" s="16">
        <f>IFERROR(INDEX(B:B,MATCH(W9,A:A,0)),"")</f>
        <v>46002.808009259257</v>
      </c>
      <c r="X10"/>
      <c r="Y10"/>
      <c r="Z10"/>
      <c r="AC10" s="245"/>
      <c r="AD10" s="245"/>
    </row>
    <row r="11" spans="1:30" ht="16.5" x14ac:dyDescent="0.25">
      <c r="A11" s="42">
        <v>7</v>
      </c>
      <c r="B11" s="51">
        <v>45870.797592592593</v>
      </c>
      <c r="C11" s="57">
        <f t="shared" si="0"/>
        <v>0.79759259259299142</v>
      </c>
      <c r="D11" s="32" t="s">
        <v>237</v>
      </c>
      <c r="E11" s="32" t="s">
        <v>238</v>
      </c>
      <c r="F11" s="33" t="s">
        <v>116</v>
      </c>
      <c r="G11" s="42">
        <v>4</v>
      </c>
      <c r="H11" s="33">
        <v>144.99</v>
      </c>
      <c r="I11" s="33">
        <f t="shared" si="1"/>
        <v>579.96</v>
      </c>
      <c r="J11" s="33" t="s">
        <v>180</v>
      </c>
      <c r="K11" s="33" t="s">
        <v>197</v>
      </c>
      <c r="L11" s="33" t="s">
        <v>194</v>
      </c>
      <c r="M11" s="33" t="s">
        <v>183</v>
      </c>
      <c r="N11" s="33" t="s">
        <v>239</v>
      </c>
      <c r="O11" s="33"/>
      <c r="P11" s="28"/>
      <c r="Q11" s="39" t="s">
        <v>160</v>
      </c>
      <c r="R11" s="44">
        <f>COUNTIF(J5:J34,"Parcial")</f>
        <v>2</v>
      </c>
      <c r="V11" s="14" t="s">
        <v>205</v>
      </c>
      <c r="W11" s="17" t="str">
        <f>IFERROR(INDEX(D:D,MATCH(W9,A:A,0)),"")</f>
        <v>Ricardo Alves</v>
      </c>
      <c r="X11"/>
      <c r="Y11"/>
      <c r="Z11"/>
    </row>
    <row r="12" spans="1:30" ht="16.5" x14ac:dyDescent="0.25">
      <c r="A12" s="43">
        <v>8</v>
      </c>
      <c r="B12" s="52">
        <v>45892.891342592593</v>
      </c>
      <c r="C12" s="58">
        <f t="shared" si="0"/>
        <v>0.89134259259299142</v>
      </c>
      <c r="D12" s="35" t="s">
        <v>178</v>
      </c>
      <c r="E12" s="35" t="s">
        <v>179</v>
      </c>
      <c r="F12" s="36" t="s">
        <v>53</v>
      </c>
      <c r="G12" s="43">
        <v>2</v>
      </c>
      <c r="H12" s="36">
        <f>IF(F12="","",VLOOKUP(F12,Pizzas!$B$5:$F$39,5,FALSE))</f>
        <v>94.99</v>
      </c>
      <c r="I12" s="36">
        <f t="shared" si="1"/>
        <v>189.98</v>
      </c>
      <c r="J12" s="36" t="s">
        <v>180</v>
      </c>
      <c r="K12" s="36" t="s">
        <v>181</v>
      </c>
      <c r="L12" s="36" t="s">
        <v>182</v>
      </c>
      <c r="M12" s="36" t="s">
        <v>183</v>
      </c>
      <c r="N12" s="36" t="s">
        <v>184</v>
      </c>
      <c r="O12" s="36" t="str">
        <f t="shared" si="2"/>
        <v/>
      </c>
      <c r="P12" s="28"/>
      <c r="V12" s="14" t="s">
        <v>203</v>
      </c>
      <c r="W12" s="17" t="str">
        <f>IFERROR(INDEX(E:E,MATCH(W9,A:A,0)),"")</f>
        <v>(11) 97345-6789</v>
      </c>
      <c r="X12"/>
      <c r="Y12"/>
      <c r="Z12"/>
    </row>
    <row r="13" spans="1:30" ht="17.25" x14ac:dyDescent="0.25">
      <c r="A13" s="42">
        <v>9</v>
      </c>
      <c r="B13" s="51">
        <v>45910.776759259257</v>
      </c>
      <c r="C13" s="57">
        <f t="shared" si="0"/>
        <v>0.77675925925723277</v>
      </c>
      <c r="D13" s="32" t="s">
        <v>240</v>
      </c>
      <c r="E13" s="32" t="s">
        <v>241</v>
      </c>
      <c r="F13" s="33" t="s">
        <v>122</v>
      </c>
      <c r="G13" s="42">
        <v>1</v>
      </c>
      <c r="H13" s="33">
        <v>103.99</v>
      </c>
      <c r="I13" s="33">
        <f t="shared" si="1"/>
        <v>103.99</v>
      </c>
      <c r="J13" s="33" t="s">
        <v>180</v>
      </c>
      <c r="K13" s="33" t="s">
        <v>187</v>
      </c>
      <c r="L13" s="33" t="s">
        <v>188</v>
      </c>
      <c r="M13" s="33" t="s">
        <v>183</v>
      </c>
      <c r="N13" s="33" t="s">
        <v>242</v>
      </c>
      <c r="O13" s="33" t="str">
        <f t="shared" si="2"/>
        <v/>
      </c>
      <c r="P13" s="28"/>
      <c r="Q13" s="237" t="s">
        <v>161</v>
      </c>
      <c r="R13" s="237"/>
      <c r="U13" s="27"/>
      <c r="V13" s="14" t="s">
        <v>281</v>
      </c>
      <c r="W13" s="21">
        <f>IFERROR(INDEX(C:C,MATCH(W9,A:A,0)),"")</f>
        <v>0.80800925925723277</v>
      </c>
      <c r="X13"/>
      <c r="Y13"/>
      <c r="Z13"/>
    </row>
    <row r="14" spans="1:30" ht="16.5" x14ac:dyDescent="0.25">
      <c r="A14" s="43">
        <v>10</v>
      </c>
      <c r="B14" s="52">
        <v>45928.849675925929</v>
      </c>
      <c r="C14" s="58">
        <f t="shared" si="0"/>
        <v>0.84967592592875008</v>
      </c>
      <c r="D14" s="35" t="s">
        <v>189</v>
      </c>
      <c r="E14" s="35" t="s">
        <v>190</v>
      </c>
      <c r="F14" s="36" t="s">
        <v>18</v>
      </c>
      <c r="G14" s="43">
        <v>3</v>
      </c>
      <c r="H14" s="36">
        <f>IF(F14="","",VLOOKUP(F14,Pizzas!$B$5:$F$39,5,FALSE))</f>
        <v>112.99</v>
      </c>
      <c r="I14" s="36">
        <f t="shared" si="1"/>
        <v>305.07299999999998</v>
      </c>
      <c r="J14" s="36" t="s">
        <v>180</v>
      </c>
      <c r="K14" s="36" t="s">
        <v>192</v>
      </c>
      <c r="L14" s="36" t="s">
        <v>182</v>
      </c>
      <c r="M14" s="36" t="s">
        <v>193</v>
      </c>
      <c r="N14" s="36" t="s">
        <v>286</v>
      </c>
      <c r="O14" s="36">
        <f t="shared" si="2"/>
        <v>33.896999999999998</v>
      </c>
      <c r="P14" s="28"/>
      <c r="Q14" s="39" t="s">
        <v>162</v>
      </c>
      <c r="R14" s="40">
        <f>SUMIF(K5:K34,"Dinheiro",I5:I34)</f>
        <v>1291.5940000000001</v>
      </c>
      <c r="V14" s="246" t="s">
        <v>217</v>
      </c>
      <c r="W14" s="246"/>
      <c r="X14"/>
      <c r="Y14"/>
      <c r="Z14"/>
    </row>
    <row r="15" spans="1:30" ht="16.5" x14ac:dyDescent="0.25">
      <c r="A15" s="42">
        <v>11</v>
      </c>
      <c r="B15" s="51">
        <v>45947.787175925929</v>
      </c>
      <c r="C15" s="57">
        <f t="shared" si="0"/>
        <v>0.78717592592875008</v>
      </c>
      <c r="D15" s="32" t="s">
        <v>249</v>
      </c>
      <c r="E15" s="32" t="s">
        <v>250</v>
      </c>
      <c r="F15" s="33" t="s">
        <v>139</v>
      </c>
      <c r="G15" s="42">
        <v>4</v>
      </c>
      <c r="H15" s="33">
        <v>149.99</v>
      </c>
      <c r="I15" s="33">
        <f t="shared" si="1"/>
        <v>539.96400000000006</v>
      </c>
      <c r="J15" s="33" t="s">
        <v>180</v>
      </c>
      <c r="K15" s="33" t="s">
        <v>181</v>
      </c>
      <c r="L15" s="33" t="s">
        <v>188</v>
      </c>
      <c r="M15" s="36" t="s">
        <v>193</v>
      </c>
      <c r="N15" s="33" t="s">
        <v>286</v>
      </c>
      <c r="O15" s="33">
        <f t="shared" si="2"/>
        <v>59.996000000000009</v>
      </c>
      <c r="P15" s="28"/>
      <c r="Q15" s="39" t="s">
        <v>163</v>
      </c>
      <c r="R15" s="40">
        <f>SUMIF(K5:K34,"PIX",I5:I34)</f>
        <v>3604.8959999999997</v>
      </c>
      <c r="V15" s="248" t="s">
        <v>213</v>
      </c>
      <c r="W15" s="248"/>
      <c r="X15"/>
      <c r="Y15"/>
      <c r="Z15"/>
    </row>
    <row r="16" spans="1:30" ht="15.75" customHeight="1" x14ac:dyDescent="0.25">
      <c r="A16" s="43">
        <v>12</v>
      </c>
      <c r="B16" s="52">
        <v>45965.860092592593</v>
      </c>
      <c r="C16" s="58">
        <f t="shared" si="0"/>
        <v>0.86009259259299142</v>
      </c>
      <c r="D16" s="35" t="s">
        <v>263</v>
      </c>
      <c r="E16" s="35" t="s">
        <v>264</v>
      </c>
      <c r="F16" s="36" t="s">
        <v>86</v>
      </c>
      <c r="G16" s="43">
        <v>1</v>
      </c>
      <c r="H16" s="36">
        <v>122.99</v>
      </c>
      <c r="I16" s="36">
        <f t="shared" si="1"/>
        <v>122.99</v>
      </c>
      <c r="J16" s="36" t="s">
        <v>180</v>
      </c>
      <c r="K16" s="36" t="s">
        <v>181</v>
      </c>
      <c r="L16" s="36" t="s">
        <v>194</v>
      </c>
      <c r="M16" s="36" t="s">
        <v>193</v>
      </c>
      <c r="N16" s="36" t="s">
        <v>265</v>
      </c>
      <c r="O16" s="36" t="str">
        <f t="shared" si="2"/>
        <v/>
      </c>
      <c r="P16" s="28"/>
      <c r="Q16" s="39" t="s">
        <v>164</v>
      </c>
      <c r="R16" s="40">
        <f>SUMIF(K5:K34,"Cartão Débito",I5:I34)</f>
        <v>1618.9370000000001</v>
      </c>
      <c r="V16" s="248"/>
      <c r="W16" s="248"/>
      <c r="X16"/>
      <c r="Y16"/>
      <c r="Z16"/>
    </row>
    <row r="17" spans="1:26" ht="16.5" x14ac:dyDescent="0.25">
      <c r="A17" s="42">
        <v>13</v>
      </c>
      <c r="B17" s="51">
        <v>45983.880925925929</v>
      </c>
      <c r="C17" s="57">
        <f t="shared" si="0"/>
        <v>0.88092592592875008</v>
      </c>
      <c r="D17" s="32" t="s">
        <v>226</v>
      </c>
      <c r="E17" s="32" t="s">
        <v>227</v>
      </c>
      <c r="F17" s="33" t="s">
        <v>83</v>
      </c>
      <c r="G17" s="42">
        <v>4</v>
      </c>
      <c r="H17" s="33">
        <v>100.99</v>
      </c>
      <c r="I17" s="33">
        <f t="shared" si="1"/>
        <v>403.96</v>
      </c>
      <c r="J17" s="33" t="s">
        <v>180</v>
      </c>
      <c r="K17" s="33" t="s">
        <v>187</v>
      </c>
      <c r="L17" s="33" t="s">
        <v>182</v>
      </c>
      <c r="M17" s="36" t="s">
        <v>193</v>
      </c>
      <c r="N17" s="33" t="s">
        <v>228</v>
      </c>
      <c r="O17" s="33" t="str">
        <f t="shared" si="2"/>
        <v/>
      </c>
      <c r="P17" s="28"/>
      <c r="Q17" s="39" t="s">
        <v>165</v>
      </c>
      <c r="R17" s="40">
        <f>SUMIF(K5:K34,"Cartão Crédito",I5:I34)</f>
        <v>12537.212999999998</v>
      </c>
      <c r="V17" s="14" t="s">
        <v>206</v>
      </c>
      <c r="W17" s="15" t="str">
        <f>IFERROR(INDEX(F:F,MATCH(W9,A:A,0)),"")</f>
        <v>Romeu e Julieta</v>
      </c>
      <c r="X17"/>
      <c r="Y17"/>
      <c r="Z17"/>
    </row>
    <row r="18" spans="1:26" ht="16.5" x14ac:dyDescent="0.25">
      <c r="A18" s="43">
        <v>14</v>
      </c>
      <c r="B18" s="52">
        <v>46002.808009259257</v>
      </c>
      <c r="C18" s="58">
        <f t="shared" si="0"/>
        <v>0.80800925925723277</v>
      </c>
      <c r="D18" s="35" t="s">
        <v>223</v>
      </c>
      <c r="E18" s="35" t="s">
        <v>224</v>
      </c>
      <c r="F18" s="36" t="s">
        <v>56</v>
      </c>
      <c r="G18" s="43">
        <v>3</v>
      </c>
      <c r="H18" s="36">
        <v>55.99</v>
      </c>
      <c r="I18" s="36">
        <f t="shared" si="1"/>
        <v>167.97</v>
      </c>
      <c r="J18" s="36" t="s">
        <v>180</v>
      </c>
      <c r="K18" s="36" t="s">
        <v>197</v>
      </c>
      <c r="L18" s="36" t="s">
        <v>188</v>
      </c>
      <c r="M18" s="36" t="s">
        <v>183</v>
      </c>
      <c r="N18" s="36" t="s">
        <v>225</v>
      </c>
      <c r="O18" s="36" t="str">
        <f t="shared" si="2"/>
        <v/>
      </c>
      <c r="P18" s="28"/>
      <c r="Q18" s="39" t="s">
        <v>166</v>
      </c>
      <c r="R18" s="40">
        <f>SUMIF(K5:K34,"Vale Refeição",I5:I34)</f>
        <v>575.94399999999996</v>
      </c>
      <c r="V18" s="14" t="s">
        <v>207</v>
      </c>
      <c r="W18" s="17">
        <f>IFERROR(INDEX(G:G,MATCH(W9,A:A,0)),"")</f>
        <v>3</v>
      </c>
      <c r="X18"/>
      <c r="Y18"/>
      <c r="Z18"/>
    </row>
    <row r="19" spans="1:26" ht="16.5" x14ac:dyDescent="0.25">
      <c r="A19" s="42">
        <v>15</v>
      </c>
      <c r="B19" s="51">
        <v>46021.828842592593</v>
      </c>
      <c r="C19" s="57">
        <f t="shared" si="0"/>
        <v>0.82884259259299142</v>
      </c>
      <c r="D19" s="32" t="s">
        <v>234</v>
      </c>
      <c r="E19" s="32" t="s">
        <v>235</v>
      </c>
      <c r="F19" s="33" t="s">
        <v>89</v>
      </c>
      <c r="G19" s="42">
        <v>3</v>
      </c>
      <c r="H19" s="33">
        <v>130.99</v>
      </c>
      <c r="I19" s="33">
        <f t="shared" si="1"/>
        <v>392.97</v>
      </c>
      <c r="J19" s="33" t="s">
        <v>180</v>
      </c>
      <c r="K19" s="33" t="s">
        <v>181</v>
      </c>
      <c r="L19" s="33" t="s">
        <v>182</v>
      </c>
      <c r="M19" s="33" t="s">
        <v>183</v>
      </c>
      <c r="N19" s="33" t="s">
        <v>236</v>
      </c>
      <c r="O19" s="33" t="str">
        <f t="shared" si="2"/>
        <v/>
      </c>
      <c r="P19" s="28"/>
      <c r="Q19" s="41"/>
      <c r="R19" s="41"/>
      <c r="V19" s="14" t="s">
        <v>208</v>
      </c>
      <c r="W19" s="24">
        <f>IFERROR(INDEX(H:H,MATCH(W9,A:A,0)),"")</f>
        <v>55.99</v>
      </c>
      <c r="X19"/>
      <c r="Y19"/>
      <c r="Z19"/>
    </row>
    <row r="20" spans="1:26" ht="17.25" x14ac:dyDescent="0.25">
      <c r="A20" s="43">
        <v>16</v>
      </c>
      <c r="B20" s="52">
        <v>46039.755925925929</v>
      </c>
      <c r="C20" s="58">
        <f t="shared" si="0"/>
        <v>0.75592592592875008</v>
      </c>
      <c r="D20" s="35" t="s">
        <v>243</v>
      </c>
      <c r="E20" s="35" t="s">
        <v>244</v>
      </c>
      <c r="F20" s="36" t="s">
        <v>128</v>
      </c>
      <c r="G20" s="43">
        <v>2</v>
      </c>
      <c r="H20" s="36">
        <v>125.99</v>
      </c>
      <c r="I20" s="36">
        <f t="shared" si="1"/>
        <v>251.98</v>
      </c>
      <c r="J20" s="36" t="s">
        <v>180</v>
      </c>
      <c r="K20" s="36" t="s">
        <v>215</v>
      </c>
      <c r="L20" s="36" t="s">
        <v>182</v>
      </c>
      <c r="M20" s="36" t="s">
        <v>183</v>
      </c>
      <c r="N20" s="36" t="s">
        <v>245</v>
      </c>
      <c r="O20" s="36" t="str">
        <f t="shared" si="2"/>
        <v/>
      </c>
      <c r="P20" s="28"/>
      <c r="Q20" s="238" t="s">
        <v>167</v>
      </c>
      <c r="R20" s="238"/>
      <c r="U20" s="27"/>
      <c r="V20" s="246" t="s">
        <v>217</v>
      </c>
      <c r="W20" s="246"/>
      <c r="X20"/>
      <c r="Y20"/>
      <c r="Z20"/>
    </row>
    <row r="21" spans="1:26" ht="16.5" x14ac:dyDescent="0.25">
      <c r="A21" s="42">
        <v>17</v>
      </c>
      <c r="B21" s="51">
        <v>46057.870509259257</v>
      </c>
      <c r="C21" s="57">
        <f t="shared" si="0"/>
        <v>0.87050925925723277</v>
      </c>
      <c r="D21" s="32" t="s">
        <v>246</v>
      </c>
      <c r="E21" s="32" t="s">
        <v>247</v>
      </c>
      <c r="F21" s="33" t="s">
        <v>133</v>
      </c>
      <c r="G21" s="42">
        <v>3</v>
      </c>
      <c r="H21" s="33">
        <v>158.99</v>
      </c>
      <c r="I21" s="33">
        <f t="shared" si="1"/>
        <v>476.97</v>
      </c>
      <c r="J21" s="33" t="s">
        <v>180</v>
      </c>
      <c r="K21" s="33" t="s">
        <v>192</v>
      </c>
      <c r="L21" s="33" t="s">
        <v>194</v>
      </c>
      <c r="M21" s="33" t="s">
        <v>183</v>
      </c>
      <c r="N21" s="33" t="s">
        <v>248</v>
      </c>
      <c r="O21" s="33" t="str">
        <f t="shared" si="2"/>
        <v/>
      </c>
      <c r="P21" s="28"/>
      <c r="Q21" s="39" t="s">
        <v>168</v>
      </c>
      <c r="R21" s="40">
        <f>SUMIF(L5:L34,"Delivery",I5:I34)</f>
        <v>2736.9219999999996</v>
      </c>
      <c r="X21"/>
      <c r="Y21"/>
      <c r="Z21"/>
    </row>
    <row r="22" spans="1:26" ht="16.5" x14ac:dyDescent="0.25">
      <c r="A22" s="43">
        <v>18</v>
      </c>
      <c r="B22" s="52">
        <v>46075.818425925929</v>
      </c>
      <c r="C22" s="58">
        <f t="shared" si="0"/>
        <v>0.81842592592875008</v>
      </c>
      <c r="D22" s="35" t="s">
        <v>271</v>
      </c>
      <c r="E22" s="35" t="s">
        <v>272</v>
      </c>
      <c r="F22" s="36" t="s">
        <v>118</v>
      </c>
      <c r="G22" s="43">
        <v>4</v>
      </c>
      <c r="H22" s="36">
        <v>89.99</v>
      </c>
      <c r="I22" s="36">
        <f t="shared" si="1"/>
        <v>323.964</v>
      </c>
      <c r="J22" s="36" t="s">
        <v>180</v>
      </c>
      <c r="K22" s="36" t="s">
        <v>215</v>
      </c>
      <c r="L22" s="36" t="s">
        <v>194</v>
      </c>
      <c r="M22" s="36" t="s">
        <v>183</v>
      </c>
      <c r="N22" s="36" t="s">
        <v>286</v>
      </c>
      <c r="O22" s="36">
        <f t="shared" si="2"/>
        <v>35.996000000000002</v>
      </c>
      <c r="P22" s="28"/>
      <c r="Q22" s="39" t="s">
        <v>169</v>
      </c>
      <c r="R22" s="40">
        <f>SUMIF(L5:L34,"Retirada",I5:I34)</f>
        <v>15133.226999999999</v>
      </c>
      <c r="T22" s="5"/>
      <c r="V22" s="18" t="s">
        <v>214</v>
      </c>
      <c r="W22" s="23">
        <f>IFERROR(INDEX(I:I,MATCH(W9,A:A,0)),"")</f>
        <v>167.97</v>
      </c>
      <c r="X22"/>
      <c r="Y22"/>
      <c r="Z22"/>
    </row>
    <row r="23" spans="1:26" ht="16.5" x14ac:dyDescent="0.25">
      <c r="A23" s="42">
        <v>19</v>
      </c>
      <c r="B23" s="51">
        <v>46094.849675925929</v>
      </c>
      <c r="C23" s="57">
        <f t="shared" si="0"/>
        <v>0.84967592592875008</v>
      </c>
      <c r="D23" s="32" t="s">
        <v>273</v>
      </c>
      <c r="E23" s="32" t="s">
        <v>274</v>
      </c>
      <c r="F23" s="33" t="s">
        <v>124</v>
      </c>
      <c r="G23" s="42">
        <v>1</v>
      </c>
      <c r="H23" s="33">
        <v>143.99</v>
      </c>
      <c r="I23" s="33">
        <f t="shared" si="1"/>
        <v>129.59100000000001</v>
      </c>
      <c r="J23" s="33" t="s">
        <v>196</v>
      </c>
      <c r="K23" s="33" t="s">
        <v>192</v>
      </c>
      <c r="L23" s="33" t="s">
        <v>188</v>
      </c>
      <c r="M23" s="33" t="s">
        <v>195</v>
      </c>
      <c r="N23" s="33" t="s">
        <v>286</v>
      </c>
      <c r="O23" s="33">
        <f t="shared" si="2"/>
        <v>14.399000000000001</v>
      </c>
      <c r="P23" s="28"/>
      <c r="Q23" s="39" t="s">
        <v>170</v>
      </c>
      <c r="R23" s="40">
        <f>SUMIF(L5:L34,"Mesa",I5:I34)</f>
        <v>1758.4350000000002</v>
      </c>
      <c r="V23" s="14" t="s">
        <v>209</v>
      </c>
      <c r="W23" s="16" t="str">
        <f>IFERROR(INDEX(K:K,MATCH(W9,A:A,0)),"")</f>
        <v>Cartão Débito</v>
      </c>
      <c r="X23"/>
      <c r="Y23"/>
      <c r="Z23"/>
    </row>
    <row r="24" spans="1:26" ht="16.5" x14ac:dyDescent="0.25">
      <c r="A24" s="43">
        <v>20</v>
      </c>
      <c r="B24" s="52">
        <v>46112.745509259257</v>
      </c>
      <c r="C24" s="58">
        <f t="shared" si="0"/>
        <v>0.74550925925723277</v>
      </c>
      <c r="D24" s="35" t="s">
        <v>266</v>
      </c>
      <c r="E24" s="35" t="s">
        <v>267</v>
      </c>
      <c r="F24" s="36" t="s">
        <v>61</v>
      </c>
      <c r="G24" s="43">
        <v>2</v>
      </c>
      <c r="H24" s="36">
        <v>95.99</v>
      </c>
      <c r="I24" s="36">
        <f t="shared" si="1"/>
        <v>191.98</v>
      </c>
      <c r="J24" s="36" t="s">
        <v>180</v>
      </c>
      <c r="K24" s="36" t="s">
        <v>197</v>
      </c>
      <c r="L24" s="36" t="s">
        <v>188</v>
      </c>
      <c r="M24" s="36" t="s">
        <v>183</v>
      </c>
      <c r="N24" s="36" t="s">
        <v>268</v>
      </c>
      <c r="O24" s="36" t="str">
        <f t="shared" si="2"/>
        <v/>
      </c>
      <c r="P24" s="28"/>
      <c r="V24" s="14" t="s">
        <v>210</v>
      </c>
      <c r="W24" s="17" t="str">
        <f>IFERROR(INDEX(L:L,MATCH(W9,A:A,0)),"")</f>
        <v>Mesa</v>
      </c>
      <c r="X24"/>
      <c r="Y24"/>
      <c r="Z24"/>
    </row>
    <row r="25" spans="1:26" ht="17.25" x14ac:dyDescent="0.25">
      <c r="A25" s="42">
        <v>21</v>
      </c>
      <c r="B25" s="51">
        <v>46116.891342592593</v>
      </c>
      <c r="C25" s="57">
        <f t="shared" si="0"/>
        <v>0.89134259259299142</v>
      </c>
      <c r="D25" s="32" t="s">
        <v>275</v>
      </c>
      <c r="E25" s="32" t="s">
        <v>276</v>
      </c>
      <c r="F25" s="33" t="s">
        <v>130</v>
      </c>
      <c r="G25" s="42">
        <v>2</v>
      </c>
      <c r="H25" s="33">
        <v>113.99</v>
      </c>
      <c r="I25" s="33">
        <f t="shared" si="1"/>
        <v>205.18199999999999</v>
      </c>
      <c r="J25" s="33" t="s">
        <v>180</v>
      </c>
      <c r="K25" s="33" t="s">
        <v>181</v>
      </c>
      <c r="L25" s="33" t="s">
        <v>182</v>
      </c>
      <c r="M25" s="33" t="s">
        <v>198</v>
      </c>
      <c r="N25" s="33" t="s">
        <v>286</v>
      </c>
      <c r="O25" s="33">
        <f t="shared" si="2"/>
        <v>22.798000000000002</v>
      </c>
      <c r="P25" s="28"/>
      <c r="Q25" s="235" t="s">
        <v>171</v>
      </c>
      <c r="R25" s="235"/>
      <c r="U25" s="27"/>
      <c r="V25" s="246" t="s">
        <v>217</v>
      </c>
      <c r="W25" s="246"/>
      <c r="X25"/>
      <c r="Y25"/>
      <c r="Z25"/>
    </row>
    <row r="26" spans="1:26" ht="16.5" x14ac:dyDescent="0.25">
      <c r="A26" s="43">
        <v>22</v>
      </c>
      <c r="B26" s="52">
        <v>46117.860092592593</v>
      </c>
      <c r="C26" s="58">
        <f t="shared" si="0"/>
        <v>0.86009259259299142</v>
      </c>
      <c r="D26" s="35" t="s">
        <v>185</v>
      </c>
      <c r="E26" s="35" t="s">
        <v>186</v>
      </c>
      <c r="F26" s="36" t="s">
        <v>54</v>
      </c>
      <c r="G26" s="43">
        <v>1</v>
      </c>
      <c r="H26" s="36">
        <f>IF(F26="","",VLOOKUP(F26,Pizzas!$B$5:$F$39,5,FALSE))</f>
        <v>116.99</v>
      </c>
      <c r="I26" s="36">
        <f t="shared" si="1"/>
        <v>116.99</v>
      </c>
      <c r="J26" s="36" t="s">
        <v>180</v>
      </c>
      <c r="K26" s="36" t="s">
        <v>187</v>
      </c>
      <c r="L26" s="36" t="s">
        <v>188</v>
      </c>
      <c r="M26" s="36" t="s">
        <v>198</v>
      </c>
      <c r="N26" s="36"/>
      <c r="O26" s="36" t="str">
        <f t="shared" si="2"/>
        <v/>
      </c>
      <c r="P26" s="28"/>
      <c r="Q26" s="39" t="s">
        <v>172</v>
      </c>
      <c r="R26" s="44">
        <f>COUNTIF(M5:M34,"Recebido")</f>
        <v>1</v>
      </c>
      <c r="V26" s="14" t="s">
        <v>211</v>
      </c>
      <c r="W26" s="25" t="str">
        <f>IFERROR(INDEX(N:N,MATCH(W9,A:A,0)),"")</f>
        <v>Pouco orégano</v>
      </c>
      <c r="X26"/>
      <c r="Y26"/>
      <c r="Z26"/>
    </row>
    <row r="27" spans="1:26" ht="16.5" x14ac:dyDescent="0.25">
      <c r="A27" s="42">
        <v>23</v>
      </c>
      <c r="B27" s="51">
        <v>46118.766342592593</v>
      </c>
      <c r="C27" s="57">
        <f t="shared" si="0"/>
        <v>0.76634259259299142</v>
      </c>
      <c r="D27" s="32" t="s">
        <v>277</v>
      </c>
      <c r="E27" s="32" t="s">
        <v>278</v>
      </c>
      <c r="F27" s="33" t="s">
        <v>135</v>
      </c>
      <c r="G27" s="42">
        <v>3</v>
      </c>
      <c r="H27" s="33">
        <v>134.99</v>
      </c>
      <c r="I27" s="33">
        <f t="shared" si="1"/>
        <v>364.47300000000001</v>
      </c>
      <c r="J27" s="33" t="s">
        <v>180</v>
      </c>
      <c r="K27" s="33" t="s">
        <v>197</v>
      </c>
      <c r="L27" s="33" t="s">
        <v>194</v>
      </c>
      <c r="M27" s="33" t="s">
        <v>183</v>
      </c>
      <c r="N27" s="33" t="s">
        <v>286</v>
      </c>
      <c r="O27" s="33">
        <f t="shared" si="2"/>
        <v>40.497000000000007</v>
      </c>
      <c r="P27" s="28"/>
      <c r="Q27" s="39" t="s">
        <v>173</v>
      </c>
      <c r="R27" s="44">
        <f>COUNTIF(M5:M34,"Em Preparo")</f>
        <v>5</v>
      </c>
      <c r="V27" s="19"/>
      <c r="W27" s="19"/>
      <c r="X27"/>
      <c r="Y27"/>
      <c r="Z27"/>
    </row>
    <row r="28" spans="1:26" ht="16.5" x14ac:dyDescent="0.25">
      <c r="A28" s="43">
        <v>24</v>
      </c>
      <c r="B28" s="52">
        <v>46120.828842592593</v>
      </c>
      <c r="C28" s="58">
        <f t="shared" si="0"/>
        <v>0.82884259259299142</v>
      </c>
      <c r="D28" s="35" t="s">
        <v>269</v>
      </c>
      <c r="E28" s="35" t="s">
        <v>270</v>
      </c>
      <c r="F28" s="36" t="s">
        <v>90</v>
      </c>
      <c r="G28" s="43">
        <v>3</v>
      </c>
      <c r="H28" s="36">
        <v>78.989999999999995</v>
      </c>
      <c r="I28" s="36">
        <f t="shared" si="1"/>
        <v>213.27299999999997</v>
      </c>
      <c r="J28" s="36" t="s">
        <v>180</v>
      </c>
      <c r="K28" s="36" t="s">
        <v>187</v>
      </c>
      <c r="L28" s="36" t="s">
        <v>182</v>
      </c>
      <c r="M28" s="36" t="s">
        <v>183</v>
      </c>
      <c r="N28" s="36" t="s">
        <v>286</v>
      </c>
      <c r="O28" s="36">
        <f t="shared" si="2"/>
        <v>23.696999999999999</v>
      </c>
      <c r="P28" s="28"/>
      <c r="Q28" s="39" t="s">
        <v>174</v>
      </c>
      <c r="R28" s="44">
        <f>COUNTIF(M5:M34,"Pronto")</f>
        <v>1</v>
      </c>
      <c r="V28" s="247"/>
      <c r="W28" s="247"/>
      <c r="X28"/>
      <c r="Y28"/>
      <c r="Z28"/>
    </row>
    <row r="29" spans="1:26" ht="16.5" x14ac:dyDescent="0.25">
      <c r="A29" s="42">
        <v>25</v>
      </c>
      <c r="B29" s="51">
        <v>46121.797592592593</v>
      </c>
      <c r="C29" s="57">
        <f t="shared" si="0"/>
        <v>0.79759259259299142</v>
      </c>
      <c r="D29" s="32" t="s">
        <v>251</v>
      </c>
      <c r="E29" s="32" t="s">
        <v>252</v>
      </c>
      <c r="F29" s="33" t="s">
        <v>18</v>
      </c>
      <c r="G29" s="42">
        <v>1</v>
      </c>
      <c r="H29" s="33">
        <v>112.99</v>
      </c>
      <c r="I29" s="33">
        <f t="shared" si="1"/>
        <v>112.99</v>
      </c>
      <c r="J29" s="33" t="s">
        <v>180</v>
      </c>
      <c r="K29" s="33" t="s">
        <v>197</v>
      </c>
      <c r="L29" s="33" t="s">
        <v>182</v>
      </c>
      <c r="M29" s="33" t="s">
        <v>183</v>
      </c>
      <c r="N29" s="33" t="s">
        <v>253</v>
      </c>
      <c r="O29" s="33" t="str">
        <f t="shared" si="2"/>
        <v/>
      </c>
      <c r="P29" s="28"/>
      <c r="Q29" s="39" t="s">
        <v>175</v>
      </c>
      <c r="R29" s="44">
        <f>COUNTIF(M5:M34,"Saiu Entrega")</f>
        <v>2</v>
      </c>
      <c r="T29" s="5"/>
      <c r="V29" s="19"/>
      <c r="W29" s="19"/>
      <c r="X29" s="20"/>
      <c r="Y29"/>
      <c r="Z29"/>
    </row>
    <row r="30" spans="1:26" ht="16.5" x14ac:dyDescent="0.25">
      <c r="A30" s="43">
        <v>26</v>
      </c>
      <c r="B30" s="52">
        <v>46124.808009259257</v>
      </c>
      <c r="C30" s="58">
        <f t="shared" si="0"/>
        <v>0.80800925925723277</v>
      </c>
      <c r="D30" s="35" t="s">
        <v>260</v>
      </c>
      <c r="E30" s="35" t="s">
        <v>261</v>
      </c>
      <c r="F30" s="36" t="s">
        <v>84</v>
      </c>
      <c r="G30" s="43">
        <v>4</v>
      </c>
      <c r="H30" s="36">
        <v>94.99</v>
      </c>
      <c r="I30" s="36">
        <f t="shared" si="1"/>
        <v>379.96</v>
      </c>
      <c r="J30" s="36" t="s">
        <v>180</v>
      </c>
      <c r="K30" s="36" t="s">
        <v>192</v>
      </c>
      <c r="L30" s="36" t="s">
        <v>182</v>
      </c>
      <c r="M30" s="36" t="s">
        <v>183</v>
      </c>
      <c r="N30" s="36" t="s">
        <v>262</v>
      </c>
      <c r="O30" s="36" t="str">
        <f t="shared" si="2"/>
        <v/>
      </c>
      <c r="P30" s="28"/>
      <c r="Q30" s="39" t="s">
        <v>176</v>
      </c>
      <c r="R30" s="44">
        <f>COUNTIF(M5:M34,"Entregue")</f>
        <v>19</v>
      </c>
      <c r="T30" s="5"/>
      <c r="V30" s="19"/>
      <c r="W30" s="19"/>
      <c r="X30"/>
      <c r="Y30"/>
      <c r="Z30"/>
    </row>
    <row r="31" spans="1:26" ht="16.5" x14ac:dyDescent="0.25">
      <c r="A31" s="42">
        <v>27</v>
      </c>
      <c r="B31" s="51">
        <v>46125</v>
      </c>
      <c r="C31" s="57" t="str">
        <f ca="1">IF(B31="", "", TEXT(NOW(), "hh:mm:mm"))</f>
        <v>10:17:04</v>
      </c>
      <c r="D31" s="32" t="s">
        <v>282</v>
      </c>
      <c r="E31" s="32" t="s">
        <v>283</v>
      </c>
      <c r="F31" s="33" t="s">
        <v>120</v>
      </c>
      <c r="G31" s="42">
        <v>10</v>
      </c>
      <c r="H31" s="33">
        <f>IF(F31="","",VLOOKUP(F31,Pizzas!$B$5:$F$39,5,FALSE))</f>
        <v>129.99</v>
      </c>
      <c r="I31" s="33">
        <f>IF(G31="","",IF(ISERROR(SEARCH("aniversariante",#REF!)),G31*H31,G31*H31*0.9))</f>
        <v>1299.9000000000001</v>
      </c>
      <c r="J31" s="33" t="s">
        <v>191</v>
      </c>
      <c r="K31" s="33" t="s">
        <v>181</v>
      </c>
      <c r="L31" s="33" t="s">
        <v>194</v>
      </c>
      <c r="M31" s="33" t="s">
        <v>193</v>
      </c>
      <c r="N31" s="33"/>
      <c r="O31" s="33" t="str">
        <f t="shared" si="2"/>
        <v/>
      </c>
      <c r="P31" s="28"/>
      <c r="Q31" s="39" t="s">
        <v>177</v>
      </c>
      <c r="R31" s="44">
        <f>COUNTIF(M5:M34,"Cancelado")</f>
        <v>0</v>
      </c>
      <c r="V31" s="13"/>
      <c r="W31" s="13"/>
    </row>
    <row r="32" spans="1:26" ht="16.5" x14ac:dyDescent="0.25">
      <c r="A32" s="43">
        <v>28</v>
      </c>
      <c r="B32" s="51">
        <v>46126</v>
      </c>
      <c r="C32" s="57"/>
      <c r="D32" s="35"/>
      <c r="E32" s="35"/>
      <c r="F32" s="36"/>
      <c r="G32" s="43"/>
      <c r="H32" s="34" t="str">
        <f>IF(F32="","",VLOOKUP(F32,Pizzas!$B$5:$F$39,5,FALSE))</f>
        <v/>
      </c>
      <c r="I32" s="36" t="str">
        <f>IF(G32="","",IF(ISERROR(SEARCH("aniversariante",N31)),G32*H32,G32*H32*0.9))</f>
        <v/>
      </c>
      <c r="J32" s="36"/>
      <c r="K32" s="36"/>
      <c r="L32" s="36"/>
      <c r="M32" s="36"/>
      <c r="N32" s="36"/>
      <c r="O32" s="36" t="str">
        <f t="shared" si="2"/>
        <v/>
      </c>
      <c r="P32" s="28"/>
    </row>
    <row r="33" spans="1:18" ht="16.5" x14ac:dyDescent="0.25">
      <c r="A33" s="42">
        <v>29</v>
      </c>
      <c r="B33" s="51">
        <v>46127</v>
      </c>
      <c r="C33" s="57" t="str">
        <f t="shared" ref="C32:C34" ca="1" si="3">IF(B33="", "", TEXT(NOW(), "hh:mm:mm"))</f>
        <v>10:17:04</v>
      </c>
      <c r="D33" s="32" t="s">
        <v>392</v>
      </c>
      <c r="E33" s="32" t="s">
        <v>393</v>
      </c>
      <c r="F33" s="33" t="s">
        <v>56</v>
      </c>
      <c r="G33" s="42">
        <v>4</v>
      </c>
      <c r="H33" s="33">
        <f>IF(F33="","",VLOOKUP(F33,Pizzas!$B$5:$F$39,5,FALSE))</f>
        <v>55.99</v>
      </c>
      <c r="I33" s="33">
        <f>IF(G33="","",IF(ISERROR(SEARCH("aniversariante",N33)),G33*H33,G33*H33*0.9))</f>
        <v>201.56400000000002</v>
      </c>
      <c r="J33" s="33" t="s">
        <v>180</v>
      </c>
      <c r="K33" s="33" t="s">
        <v>197</v>
      </c>
      <c r="L33" s="33" t="s">
        <v>182</v>
      </c>
      <c r="M33" s="33" t="s">
        <v>394</v>
      </c>
      <c r="N33" s="33" t="s">
        <v>286</v>
      </c>
      <c r="O33" s="33">
        <f t="shared" si="2"/>
        <v>22.396000000000001</v>
      </c>
      <c r="P33" s="28"/>
      <c r="Q33" s="12" t="s">
        <v>284</v>
      </c>
      <c r="R33" s="45">
        <f>COUNTIF(N5:N34,"*aniversariante*")</f>
        <v>8</v>
      </c>
    </row>
    <row r="34" spans="1:18" ht="16.5" x14ac:dyDescent="0.25">
      <c r="A34" s="43">
        <v>30</v>
      </c>
      <c r="B34" s="51">
        <v>46128</v>
      </c>
      <c r="C34" s="57"/>
      <c r="D34" s="35"/>
      <c r="E34" s="35"/>
      <c r="F34" s="36"/>
      <c r="G34" s="43"/>
      <c r="H34" s="36" t="str">
        <f>IF(F34="","",VLOOKUP(F34,Pizzas!$B$5:$F$39,5,FALSE))</f>
        <v/>
      </c>
      <c r="I34" s="36" t="str">
        <f>IF(G34="","",IF(ISERROR(SEARCH("aniversariante",N34)),G34*H34,G34*H34*0.9))</f>
        <v/>
      </c>
      <c r="J34" s="36"/>
      <c r="K34" s="36"/>
      <c r="L34" s="36"/>
      <c r="M34" s="36"/>
      <c r="N34" s="36"/>
      <c r="O34" s="36" t="str">
        <f t="shared" si="2"/>
        <v/>
      </c>
      <c r="P34" s="28"/>
      <c r="Q34" s="12" t="s">
        <v>285</v>
      </c>
      <c r="R34" s="3">
        <f>SUM(O5:O34)</f>
        <v>253.67600000000004</v>
      </c>
    </row>
    <row r="35" spans="1:18" ht="18.75" x14ac:dyDescent="0.25">
      <c r="A35" s="230"/>
      <c r="B35" s="53"/>
      <c r="C35" s="231"/>
      <c r="D35" s="230"/>
      <c r="E35" s="230"/>
      <c r="F35" s="230"/>
      <c r="G35" s="232">
        <f>SUM(G5:G31)</f>
        <v>170</v>
      </c>
      <c r="H35" s="233"/>
      <c r="I35" s="38">
        <f>SUM(I5:I30)</f>
        <v>18127.120000000003</v>
      </c>
      <c r="J35" s="234"/>
      <c r="K35" s="234"/>
      <c r="L35" s="234"/>
      <c r="M35" s="234"/>
      <c r="N35" s="234"/>
      <c r="O35" s="60"/>
    </row>
    <row r="36" spans="1:18" ht="18.75" x14ac:dyDescent="0.25">
      <c r="A36" s="10"/>
      <c r="B36" s="54"/>
      <c r="C36" s="59"/>
      <c r="D36" s="26"/>
      <c r="E36" s="26"/>
      <c r="F36" s="26"/>
      <c r="G36" s="47"/>
      <c r="H36" s="29"/>
      <c r="I36" s="11"/>
      <c r="J36" s="26"/>
      <c r="K36" s="26"/>
      <c r="L36" s="26"/>
      <c r="M36" s="26"/>
      <c r="N36" s="26"/>
      <c r="O36" s="29"/>
    </row>
    <row r="37" spans="1:18" ht="18.75" x14ac:dyDescent="0.25">
      <c r="A37" s="10"/>
      <c r="B37" s="54"/>
      <c r="C37" s="59"/>
      <c r="D37" s="26"/>
      <c r="E37" s="26"/>
      <c r="F37" s="26"/>
      <c r="G37" s="47"/>
      <c r="H37" s="29"/>
      <c r="I37" s="11"/>
      <c r="J37" s="26"/>
      <c r="K37" s="26"/>
      <c r="L37" s="26"/>
      <c r="M37" s="26"/>
      <c r="N37" s="26"/>
      <c r="O37" s="29"/>
    </row>
    <row r="42" spans="1:18" x14ac:dyDescent="0.25">
      <c r="R42" s="2"/>
    </row>
    <row r="45" spans="1:18" x14ac:dyDescent="0.25">
      <c r="R45" s="1" t="s">
        <v>391</v>
      </c>
    </row>
  </sheetData>
  <mergeCells count="15">
    <mergeCell ref="S1:S1048576"/>
    <mergeCell ref="AC10:AD10"/>
    <mergeCell ref="V14:W14"/>
    <mergeCell ref="V7:W7"/>
    <mergeCell ref="V20:W20"/>
    <mergeCell ref="V28:W28"/>
    <mergeCell ref="V25:W25"/>
    <mergeCell ref="V15:W16"/>
    <mergeCell ref="V5:W6"/>
    <mergeCell ref="Q25:R25"/>
    <mergeCell ref="Q4:R4"/>
    <mergeCell ref="Q13:R13"/>
    <mergeCell ref="Q20:R20"/>
    <mergeCell ref="A1:M1"/>
    <mergeCell ref="F2:J2"/>
  </mergeCells>
  <conditionalFormatting sqref="J5:J37">
    <cfRule type="containsText" dxfId="25" priority="1" operator="containsText" text="Pago">
      <formula>NOT(ISERROR(SEARCH("Pago",J5)))</formula>
    </cfRule>
    <cfRule type="containsText" dxfId="24" priority="2" operator="containsText" text="Parcial">
      <formula>NOT(ISERROR(SEARCH("Parcial",J5)))</formula>
    </cfRule>
    <cfRule type="containsText" dxfId="23" priority="3" operator="containsText" text="Pendente">
      <formula>NOT(ISERROR(SEARCH("Pendente",J5)))</formula>
    </cfRule>
  </conditionalFormatting>
  <conditionalFormatting sqref="M5:M37">
    <cfRule type="containsText" dxfId="22" priority="4" operator="containsText" text="Entregue">
      <formula>NOT(ISERROR(SEARCH("Entregue",M5)))</formula>
    </cfRule>
    <cfRule type="containsText" dxfId="21" priority="5" operator="containsText" text="Em Preparo">
      <formula>NOT(ISERROR(SEARCH("Em Preparo",M5)))</formula>
    </cfRule>
    <cfRule type="containsText" dxfId="20" priority="6" operator="containsText" text="Pronto">
      <formula>NOT(ISERROR(SEARCH("Pronto",M5)))</formula>
    </cfRule>
    <cfRule type="containsText" dxfId="19" priority="7" operator="containsText" text="Saiu Entrega">
      <formula>NOT(ISERROR(SEARCH("Saiu Entrega",M5)))</formula>
    </cfRule>
  </conditionalFormatting>
  <dataValidations count="5">
    <dataValidation type="list" allowBlank="1" showInputMessage="1" showErrorMessage="1" sqref="F5:F34" xr:uid="{C8DB0CA6-13E1-4619-9517-8FD8F73D5735}">
      <formula1>INDIRECT("tbl_Pizzas[Nome]")</formula1>
    </dataValidation>
    <dataValidation type="list" allowBlank="1" showInputMessage="1" showErrorMessage="1" sqref="J5:J34" xr:uid="{3BA18442-056E-475C-86AB-7737DB7453E9}">
      <formula1>"Pago,Pendente,Parcial,Cancelado"</formula1>
    </dataValidation>
    <dataValidation type="list" allowBlank="1" showInputMessage="1" showErrorMessage="1" sqref="K5:K34" xr:uid="{9E1EF187-3FF1-4A5F-828B-E141C89AFDB6}">
      <formula1>"Dinheiro,PIX,Cartão Débito,Cartão Crédito,Vale Refeição"</formula1>
    </dataValidation>
    <dataValidation type="list" allowBlank="1" showInputMessage="1" showErrorMessage="1" sqref="L5:L34" xr:uid="{A129BC85-F0C1-4C20-B9CC-EF8FADFB754B}">
      <formula1>"Delivery,Retirada,Mesa"</formula1>
    </dataValidation>
    <dataValidation type="list" allowBlank="1" showInputMessage="1" showErrorMessage="1" sqref="M5:M34" xr:uid="{E51CC297-E6A0-4C17-A311-1E20BF50C0DE}">
      <formula1>"Recebido,Em Preparo,Pronto,Saiu Entrega,Entregue,Cancelado"</formula1>
    </dataValidation>
  </dataValidations>
  <pageMargins left="0.7" right="0.7" top="0.75" bottom="0.75" header="0.3" footer="0.3"/>
  <pageSetup paperSize="9" orientation="portrait" r:id="rId1"/>
  <ignoredErrors>
    <ignoredError sqref="R8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C44B1-D059-4986-8BD7-DD2DDE325D84}">
  <sheetPr codeName="Sheet1"/>
  <dimension ref="A1:N51"/>
  <sheetViews>
    <sheetView showGridLines="0" topLeftCell="F1" zoomScale="110" zoomScaleNormal="100" workbookViewId="0">
      <selection activeCell="D6" sqref="D6"/>
    </sheetView>
  </sheetViews>
  <sheetFormatPr defaultRowHeight="18.75" x14ac:dyDescent="0.25"/>
  <cols>
    <col min="1" max="1" width="13.42578125" style="7" bestFit="1" customWidth="1"/>
    <col min="2" max="2" width="28.5703125" style="8" customWidth="1"/>
    <col min="3" max="3" width="11.42578125" style="7" customWidth="1"/>
    <col min="4" max="4" width="15.28515625" style="7" customWidth="1"/>
    <col min="5" max="5" width="25.28515625" style="9" bestFit="1" customWidth="1"/>
    <col min="6" max="6" width="20.42578125" style="9" bestFit="1" customWidth="1"/>
    <col min="7" max="7" width="19" style="7" customWidth="1"/>
    <col min="8" max="8" width="26.7109375" style="7" customWidth="1"/>
    <col min="9" max="9" width="13.28515625" style="7" customWidth="1"/>
    <col min="10" max="10" width="2.85546875" style="7" customWidth="1"/>
    <col min="11" max="11" width="29.140625" style="7" bestFit="1" customWidth="1"/>
    <col min="12" max="12" width="2.85546875" style="7" customWidth="1"/>
    <col min="13" max="13" width="19" style="7" customWidth="1"/>
    <col min="14" max="14" width="2.85546875" style="7" customWidth="1"/>
    <col min="15" max="16384" width="9.140625" style="7"/>
  </cols>
  <sheetData>
    <row r="1" spans="1:14" ht="39.950000000000003" customHeight="1" x14ac:dyDescent="0.25">
      <c r="A1" s="249" t="s">
        <v>288</v>
      </c>
      <c r="B1" s="250"/>
      <c r="C1" s="250"/>
      <c r="D1" s="250"/>
      <c r="E1" s="250"/>
      <c r="F1" s="250"/>
      <c r="G1" s="250"/>
      <c r="H1" s="250"/>
      <c r="I1" s="250"/>
    </row>
    <row r="2" spans="1:14" x14ac:dyDescent="0.25">
      <c r="A2" s="63"/>
      <c r="E2" s="64">
        <f ca="1">NOW()</f>
        <v>46127.428972106478</v>
      </c>
    </row>
    <row r="3" spans="1:14" ht="8.1" customHeight="1" x14ac:dyDescent="0.25">
      <c r="A3" s="65"/>
      <c r="B3" s="66"/>
      <c r="C3" s="65"/>
      <c r="D3" s="65"/>
      <c r="E3" s="67"/>
      <c r="F3" s="67"/>
      <c r="G3" s="65"/>
      <c r="H3" s="65"/>
      <c r="I3" s="65"/>
    </row>
    <row r="4" spans="1:14" ht="24.95" customHeight="1" x14ac:dyDescent="0.25">
      <c r="A4" s="68" t="s">
        <v>0</v>
      </c>
      <c r="B4" s="69" t="s">
        <v>1</v>
      </c>
      <c r="C4" s="70" t="s">
        <v>7</v>
      </c>
      <c r="D4" s="70" t="s">
        <v>2</v>
      </c>
      <c r="E4" s="71" t="s">
        <v>3</v>
      </c>
      <c r="F4" s="71" t="s">
        <v>4</v>
      </c>
      <c r="G4" s="70" t="s">
        <v>5</v>
      </c>
      <c r="H4" s="70" t="s">
        <v>6</v>
      </c>
      <c r="I4" s="72" t="s">
        <v>44</v>
      </c>
      <c r="J4"/>
      <c r="K4" s="251" t="s">
        <v>289</v>
      </c>
      <c r="L4" s="252"/>
      <c r="M4" s="252"/>
      <c r="N4" s="253"/>
    </row>
    <row r="5" spans="1:14" x14ac:dyDescent="0.25">
      <c r="A5" s="35">
        <v>1</v>
      </c>
      <c r="B5" s="36" t="s">
        <v>9</v>
      </c>
      <c r="C5" s="36" t="s">
        <v>14</v>
      </c>
      <c r="D5" s="35">
        <v>200</v>
      </c>
      <c r="E5" s="36">
        <v>6.8</v>
      </c>
      <c r="F5" s="36">
        <f>IF(tbl_Estoque[[#This Row],[Quantidade]]="","",tbl_Estoque[[#This Row],[Quantidade]]*tbl_Estoque[[#This Row],[Custo Unitário]])</f>
        <v>1360</v>
      </c>
      <c r="G5" s="35">
        <v>30</v>
      </c>
      <c r="H5" s="36" t="s">
        <v>11</v>
      </c>
      <c r="I5" s="36" t="str">
        <f t="shared" ref="I5:I40" si="0">IF(D5="","",IF(D5&lt;G5*0.5,"Crítico",IF(D5&lt;G5,"Baixo","OK")))</f>
        <v>OK</v>
      </c>
      <c r="J5"/>
      <c r="K5" s="169" t="s">
        <v>290</v>
      </c>
      <c r="L5" s="82"/>
      <c r="M5" s="173">
        <f>COUNTA(tbl_Estoque[Ingrediente])</f>
        <v>36</v>
      </c>
      <c r="N5" s="84"/>
    </row>
    <row r="6" spans="1:14" x14ac:dyDescent="0.25">
      <c r="A6" s="32">
        <v>2</v>
      </c>
      <c r="B6" s="33" t="s">
        <v>15</v>
      </c>
      <c r="C6" s="33" t="s">
        <v>12</v>
      </c>
      <c r="D6" s="32">
        <v>40</v>
      </c>
      <c r="E6" s="33">
        <v>13.9</v>
      </c>
      <c r="F6" s="33">
        <f>IF(tbl_Estoque[[#This Row],[Quantidade]]="","",tbl_Estoque[[#This Row],[Quantidade]]*tbl_Estoque[[#This Row],[Custo Unitário]])</f>
        <v>556</v>
      </c>
      <c r="G6" s="32">
        <v>8</v>
      </c>
      <c r="H6" s="33" t="s">
        <v>16</v>
      </c>
      <c r="I6" s="33" t="str">
        <f t="shared" si="0"/>
        <v>OK</v>
      </c>
      <c r="J6"/>
      <c r="K6" s="169" t="s">
        <v>291</v>
      </c>
      <c r="L6" s="82"/>
      <c r="M6" s="182">
        <f>SUM(tbl_Estoque[Custo Total])</f>
        <v>17785.400000000001</v>
      </c>
      <c r="N6" s="84"/>
    </row>
    <row r="7" spans="1:14" x14ac:dyDescent="0.25">
      <c r="A7" s="35">
        <v>3</v>
      </c>
      <c r="B7" s="36" t="s">
        <v>17</v>
      </c>
      <c r="C7" s="36" t="s">
        <v>10</v>
      </c>
      <c r="D7" s="35">
        <v>10</v>
      </c>
      <c r="E7" s="36">
        <v>43.5</v>
      </c>
      <c r="F7" s="36">
        <f>IF(tbl_Estoque[[#This Row],[Quantidade]]="","",tbl_Estoque[[#This Row],[Quantidade]]*tbl_Estoque[[#This Row],[Custo Unitário]])</f>
        <v>435</v>
      </c>
      <c r="G7" s="35">
        <v>6</v>
      </c>
      <c r="H7" s="36" t="s">
        <v>13</v>
      </c>
      <c r="I7" s="36" t="str">
        <f t="shared" si="0"/>
        <v>OK</v>
      </c>
      <c r="J7"/>
      <c r="K7" s="170" t="s">
        <v>292</v>
      </c>
      <c r="L7" s="83"/>
      <c r="M7" s="183">
        <f>AVERAGE(tbl_Estoque[Custo Unitário])</f>
        <v>23.525555555555556</v>
      </c>
      <c r="N7" s="85"/>
    </row>
    <row r="8" spans="1:14" x14ac:dyDescent="0.25">
      <c r="A8" s="35">
        <v>4</v>
      </c>
      <c r="B8" s="36" t="s">
        <v>18</v>
      </c>
      <c r="C8" s="36" t="s">
        <v>10</v>
      </c>
      <c r="D8" s="35">
        <v>15</v>
      </c>
      <c r="E8" s="36">
        <v>64</v>
      </c>
      <c r="F8" s="36">
        <f>IF(tbl_Estoque[[#This Row],[Quantidade]]="","",tbl_Estoque[[#This Row],[Quantidade]]*tbl_Estoque[[#This Row],[Custo Unitário]])</f>
        <v>960</v>
      </c>
      <c r="G8" s="35">
        <v>4</v>
      </c>
      <c r="H8" s="36" t="s">
        <v>19</v>
      </c>
      <c r="I8" s="36" t="str">
        <f t="shared" si="0"/>
        <v>OK</v>
      </c>
      <c r="J8"/>
      <c r="M8" s="114"/>
    </row>
    <row r="9" spans="1:14" x14ac:dyDescent="0.25">
      <c r="A9" s="32">
        <v>5</v>
      </c>
      <c r="B9" s="33" t="s">
        <v>20</v>
      </c>
      <c r="C9" s="33" t="s">
        <v>10</v>
      </c>
      <c r="D9" s="32">
        <v>2</v>
      </c>
      <c r="E9" s="33">
        <v>36.5</v>
      </c>
      <c r="F9" s="33">
        <f>IF(tbl_Estoque[[#This Row],[Quantidade]]="","",tbl_Estoque[[#This Row],[Quantidade]]*tbl_Estoque[[#This Row],[Custo Unitário]])</f>
        <v>73</v>
      </c>
      <c r="G9" s="32">
        <v>5</v>
      </c>
      <c r="H9" s="33" t="s">
        <v>21</v>
      </c>
      <c r="I9" s="33" t="str">
        <f t="shared" si="0"/>
        <v>Crítico</v>
      </c>
      <c r="J9"/>
      <c r="K9" s="254" t="s">
        <v>200</v>
      </c>
      <c r="L9" s="255"/>
      <c r="M9" s="255"/>
      <c r="N9" s="256"/>
    </row>
    <row r="10" spans="1:14" x14ac:dyDescent="0.25">
      <c r="A10" s="35">
        <v>6</v>
      </c>
      <c r="B10" s="36" t="s">
        <v>22</v>
      </c>
      <c r="C10" s="36" t="s">
        <v>10</v>
      </c>
      <c r="D10" s="35">
        <v>18</v>
      </c>
      <c r="E10" s="36">
        <v>49</v>
      </c>
      <c r="F10" s="36">
        <f>IF(tbl_Estoque[[#This Row],[Quantidade]]="","",tbl_Estoque[[#This Row],[Quantidade]]*tbl_Estoque[[#This Row],[Custo Unitário]])</f>
        <v>882</v>
      </c>
      <c r="G10" s="35">
        <v>5</v>
      </c>
      <c r="H10" s="36" t="s">
        <v>19</v>
      </c>
      <c r="I10" s="36" t="str">
        <f t="shared" si="0"/>
        <v>OK</v>
      </c>
      <c r="J10"/>
      <c r="K10" s="169" t="s">
        <v>332</v>
      </c>
      <c r="L10" s="86"/>
      <c r="M10" s="167">
        <f>COUNTIF(tbl_Estoque[Status],"Crítico")</f>
        <v>3</v>
      </c>
      <c r="N10" s="88"/>
    </row>
    <row r="11" spans="1:14" x14ac:dyDescent="0.25">
      <c r="A11" s="35">
        <v>7</v>
      </c>
      <c r="B11" s="36" t="s">
        <v>23</v>
      </c>
      <c r="C11" s="36" t="s">
        <v>10</v>
      </c>
      <c r="D11" s="35">
        <v>60</v>
      </c>
      <c r="E11" s="36">
        <v>7.8</v>
      </c>
      <c r="F11" s="36">
        <f>IF(tbl_Estoque[[#This Row],[Quantidade]]="","",tbl_Estoque[[#This Row],[Quantidade]]*tbl_Estoque[[#This Row],[Custo Unitário]])</f>
        <v>468</v>
      </c>
      <c r="G11" s="35">
        <v>12</v>
      </c>
      <c r="H11" s="36" t="s">
        <v>24</v>
      </c>
      <c r="I11" s="36" t="str">
        <f t="shared" si="0"/>
        <v>OK</v>
      </c>
      <c r="J11"/>
      <c r="K11" s="169" t="s">
        <v>333</v>
      </c>
      <c r="L11" s="86"/>
      <c r="M11" s="167">
        <f>COUNTIF(tbl_Estoque[Status],"Baixo")</f>
        <v>3</v>
      </c>
      <c r="N11" s="88"/>
    </row>
    <row r="12" spans="1:14" x14ac:dyDescent="0.25">
      <c r="A12" s="32">
        <v>8</v>
      </c>
      <c r="B12" s="33" t="s">
        <v>25</v>
      </c>
      <c r="C12" s="33" t="s">
        <v>10</v>
      </c>
      <c r="D12" s="32">
        <v>12</v>
      </c>
      <c r="E12" s="33">
        <v>8.5</v>
      </c>
      <c r="F12" s="33">
        <f>IF(tbl_Estoque[[#This Row],[Quantidade]]="","",tbl_Estoque[[#This Row],[Quantidade]]*tbl_Estoque[[#This Row],[Custo Unitário]])</f>
        <v>102</v>
      </c>
      <c r="G12" s="32">
        <v>20</v>
      </c>
      <c r="H12" s="33" t="s">
        <v>24</v>
      </c>
      <c r="I12" s="33" t="str">
        <f t="shared" si="0"/>
        <v>Baixo</v>
      </c>
      <c r="J12"/>
      <c r="K12" s="170" t="s">
        <v>334</v>
      </c>
      <c r="L12" s="87"/>
      <c r="M12" s="174">
        <f>COUNTIF(tbl_Estoque[Status],"OK")</f>
        <v>30</v>
      </c>
      <c r="N12" s="89"/>
    </row>
    <row r="13" spans="1:14" x14ac:dyDescent="0.25">
      <c r="A13" s="35">
        <v>9</v>
      </c>
      <c r="B13" s="36" t="s">
        <v>26</v>
      </c>
      <c r="C13" s="36" t="s">
        <v>8</v>
      </c>
      <c r="D13" s="35">
        <v>1200</v>
      </c>
      <c r="E13" s="36">
        <v>0.22</v>
      </c>
      <c r="F13" s="36">
        <f>IF(tbl_Estoque[[#This Row],[Quantidade]]="","",tbl_Estoque[[#This Row],[Quantidade]]*tbl_Estoque[[#This Row],[Custo Unitário]])</f>
        <v>264</v>
      </c>
      <c r="G13" s="35">
        <v>200</v>
      </c>
      <c r="H13" s="36" t="s">
        <v>27</v>
      </c>
      <c r="I13" s="36" t="str">
        <f t="shared" si="0"/>
        <v>OK</v>
      </c>
      <c r="J13"/>
    </row>
    <row r="14" spans="1:14" x14ac:dyDescent="0.25">
      <c r="A14" s="35">
        <v>10</v>
      </c>
      <c r="B14" s="36" t="s">
        <v>28</v>
      </c>
      <c r="C14" s="36" t="s">
        <v>10</v>
      </c>
      <c r="D14" s="35">
        <v>18</v>
      </c>
      <c r="E14" s="36">
        <v>25</v>
      </c>
      <c r="F14" s="36">
        <f>IF(tbl_Estoque[[#This Row],[Quantidade]]="","",tbl_Estoque[[#This Row],[Quantidade]]*tbl_Estoque[[#This Row],[Custo Unitário]])</f>
        <v>450</v>
      </c>
      <c r="G14" s="35">
        <v>5</v>
      </c>
      <c r="H14" s="36" t="s">
        <v>29</v>
      </c>
      <c r="I14" s="36" t="str">
        <f t="shared" si="0"/>
        <v>OK</v>
      </c>
      <c r="J14"/>
      <c r="K14" s="257" t="s">
        <v>293</v>
      </c>
      <c r="L14" s="258"/>
      <c r="M14" s="258"/>
      <c r="N14" s="259"/>
    </row>
    <row r="15" spans="1:14" x14ac:dyDescent="0.25">
      <c r="A15" s="32">
        <v>11</v>
      </c>
      <c r="B15" s="33" t="s">
        <v>30</v>
      </c>
      <c r="C15" s="33" t="s">
        <v>12</v>
      </c>
      <c r="D15" s="32">
        <v>30</v>
      </c>
      <c r="E15" s="33">
        <v>11.5</v>
      </c>
      <c r="F15" s="33">
        <f>IF(tbl_Estoque[[#This Row],[Quantidade]]="","",tbl_Estoque[[#This Row],[Quantidade]]*tbl_Estoque[[#This Row],[Custo Unitário]])</f>
        <v>345</v>
      </c>
      <c r="G15" s="32">
        <v>8</v>
      </c>
      <c r="H15" s="33" t="s">
        <v>29</v>
      </c>
      <c r="I15" s="33" t="str">
        <f t="shared" si="0"/>
        <v>OK</v>
      </c>
      <c r="J15"/>
      <c r="K15" s="179" t="s">
        <v>6</v>
      </c>
      <c r="L15" s="115"/>
      <c r="M15" s="115" t="s">
        <v>321</v>
      </c>
      <c r="N15" s="171"/>
    </row>
    <row r="16" spans="1:14" x14ac:dyDescent="0.25">
      <c r="A16" s="35">
        <v>12</v>
      </c>
      <c r="B16" s="36" t="s">
        <v>31</v>
      </c>
      <c r="C16" s="36" t="s">
        <v>10</v>
      </c>
      <c r="D16" s="35">
        <v>1</v>
      </c>
      <c r="E16" s="36">
        <v>53</v>
      </c>
      <c r="F16" s="36">
        <f>IF(tbl_Estoque[[#This Row],[Quantidade]]="","",tbl_Estoque[[#This Row],[Quantidade]]*tbl_Estoque[[#This Row],[Custo Unitário]])</f>
        <v>53</v>
      </c>
      <c r="G16" s="35">
        <v>4</v>
      </c>
      <c r="H16" s="36" t="s">
        <v>13</v>
      </c>
      <c r="I16" s="36" t="str">
        <f t="shared" si="0"/>
        <v>Crítico</v>
      </c>
      <c r="J16"/>
      <c r="K16" s="169" t="s">
        <v>33</v>
      </c>
      <c r="L16" s="90"/>
      <c r="M16" s="168">
        <f>COUNTIF(tbl_Estoque[Fornecedor],K16)</f>
        <v>6</v>
      </c>
      <c r="N16" s="92"/>
    </row>
    <row r="17" spans="1:14" x14ac:dyDescent="0.25">
      <c r="A17" s="35">
        <v>13</v>
      </c>
      <c r="B17" s="36" t="s">
        <v>32</v>
      </c>
      <c r="C17" s="36" t="s">
        <v>10</v>
      </c>
      <c r="D17" s="35">
        <v>25</v>
      </c>
      <c r="E17" s="36">
        <v>37.5</v>
      </c>
      <c r="F17" s="36">
        <f>IF(tbl_Estoque[[#This Row],[Quantidade]]="","",tbl_Estoque[[#This Row],[Quantidade]]*tbl_Estoque[[#This Row],[Custo Unitário]])</f>
        <v>937.5</v>
      </c>
      <c r="G17" s="35">
        <v>6</v>
      </c>
      <c r="H17" s="36" t="s">
        <v>33</v>
      </c>
      <c r="I17" s="36" t="str">
        <f t="shared" si="0"/>
        <v>OK</v>
      </c>
      <c r="J17"/>
      <c r="K17" s="169" t="s">
        <v>24</v>
      </c>
      <c r="L17" s="90"/>
      <c r="M17" s="168">
        <f>COUNTIF(tbl_Estoque[Fornecedor],K17)</f>
        <v>5</v>
      </c>
      <c r="N17" s="92"/>
    </row>
    <row r="18" spans="1:14" x14ac:dyDescent="0.25">
      <c r="A18" s="32">
        <v>14</v>
      </c>
      <c r="B18" s="33" t="s">
        <v>34</v>
      </c>
      <c r="C18" s="33" t="s">
        <v>14</v>
      </c>
      <c r="D18" s="32">
        <v>150</v>
      </c>
      <c r="E18" s="33">
        <v>1.45</v>
      </c>
      <c r="F18" s="33">
        <f>IF(tbl_Estoque[[#This Row],[Quantidade]]="","",tbl_Estoque[[#This Row],[Quantidade]]*tbl_Estoque[[#This Row],[Custo Unitário]])</f>
        <v>217.5</v>
      </c>
      <c r="G18" s="32">
        <v>30</v>
      </c>
      <c r="H18" s="33" t="s">
        <v>24</v>
      </c>
      <c r="I18" s="33" t="str">
        <f t="shared" si="0"/>
        <v>OK</v>
      </c>
      <c r="J18"/>
      <c r="K18" s="169" t="s">
        <v>29</v>
      </c>
      <c r="L18" s="90"/>
      <c r="M18" s="168">
        <f>COUNTIF(tbl_Estoque[Fornecedor],K18)</f>
        <v>5</v>
      </c>
      <c r="N18" s="92"/>
    </row>
    <row r="19" spans="1:14" x14ac:dyDescent="0.25">
      <c r="A19" s="35">
        <v>15</v>
      </c>
      <c r="B19" s="36" t="s">
        <v>35</v>
      </c>
      <c r="C19" s="36" t="s">
        <v>10</v>
      </c>
      <c r="D19" s="35">
        <v>12</v>
      </c>
      <c r="E19" s="36">
        <v>20.5</v>
      </c>
      <c r="F19" s="36">
        <f>IF(tbl_Estoque[[#This Row],[Quantidade]]="","",tbl_Estoque[[#This Row],[Quantidade]]*tbl_Estoque[[#This Row],[Custo Unitário]])</f>
        <v>246</v>
      </c>
      <c r="G19" s="35">
        <v>4</v>
      </c>
      <c r="H19" s="36" t="s">
        <v>33</v>
      </c>
      <c r="I19" s="36" t="str">
        <f t="shared" si="0"/>
        <v>OK</v>
      </c>
      <c r="J19"/>
      <c r="K19" s="170" t="s">
        <v>19</v>
      </c>
      <c r="L19" s="91"/>
      <c r="M19" s="175">
        <f>COUNTIF(tbl_Estoque[Fornecedor],K19)</f>
        <v>3</v>
      </c>
      <c r="N19" s="93"/>
    </row>
    <row r="20" spans="1:14" x14ac:dyDescent="0.25">
      <c r="A20" s="35">
        <v>16</v>
      </c>
      <c r="B20" s="36" t="s">
        <v>36</v>
      </c>
      <c r="C20" s="36" t="s">
        <v>12</v>
      </c>
      <c r="D20" s="35">
        <v>25</v>
      </c>
      <c r="E20" s="36">
        <v>12.8</v>
      </c>
      <c r="F20" s="36">
        <f>IF(tbl_Estoque[[#This Row],[Quantidade]]="","",tbl_Estoque[[#This Row],[Quantidade]]*tbl_Estoque[[#This Row],[Custo Unitário]])</f>
        <v>320</v>
      </c>
      <c r="G20" s="35">
        <v>6</v>
      </c>
      <c r="H20" s="36" t="s">
        <v>37</v>
      </c>
      <c r="I20" s="36" t="str">
        <f t="shared" si="0"/>
        <v>OK</v>
      </c>
      <c r="J20"/>
    </row>
    <row r="21" spans="1:14" x14ac:dyDescent="0.25">
      <c r="A21" s="32">
        <v>17</v>
      </c>
      <c r="B21" s="33" t="s">
        <v>38</v>
      </c>
      <c r="C21" s="33" t="s">
        <v>10</v>
      </c>
      <c r="D21" s="32">
        <v>15</v>
      </c>
      <c r="E21" s="33">
        <v>5.9</v>
      </c>
      <c r="F21" s="33">
        <f>IF(tbl_Estoque[[#This Row],[Quantidade]]="","",tbl_Estoque[[#This Row],[Quantidade]]*tbl_Estoque[[#This Row],[Custo Unitário]])</f>
        <v>88.5</v>
      </c>
      <c r="G21" s="32">
        <v>20</v>
      </c>
      <c r="H21" s="33" t="s">
        <v>39</v>
      </c>
      <c r="I21" s="33" t="str">
        <f t="shared" si="0"/>
        <v>Baixo</v>
      </c>
      <c r="J21"/>
      <c r="K21" s="260" t="s">
        <v>294</v>
      </c>
      <c r="L21" s="261"/>
      <c r="M21" s="261"/>
      <c r="N21" s="262"/>
    </row>
    <row r="22" spans="1:14" x14ac:dyDescent="0.25">
      <c r="A22" s="35">
        <v>18</v>
      </c>
      <c r="B22" s="36" t="s">
        <v>40</v>
      </c>
      <c r="C22" s="36" t="s">
        <v>8</v>
      </c>
      <c r="D22" s="35">
        <v>1800</v>
      </c>
      <c r="E22" s="36">
        <v>0.11</v>
      </c>
      <c r="F22" s="36">
        <f>IF(tbl_Estoque[[#This Row],[Quantidade]]="","",tbl_Estoque[[#This Row],[Quantidade]]*tbl_Estoque[[#This Row],[Custo Unitário]])</f>
        <v>198</v>
      </c>
      <c r="G22" s="35">
        <v>400</v>
      </c>
      <c r="H22" s="36" t="s">
        <v>41</v>
      </c>
      <c r="I22" s="36" t="str">
        <f t="shared" si="0"/>
        <v>OK</v>
      </c>
      <c r="J22"/>
      <c r="K22" s="180" t="s">
        <v>322</v>
      </c>
      <c r="L22" s="116"/>
      <c r="M22" s="116" t="s">
        <v>201</v>
      </c>
      <c r="N22" s="172"/>
    </row>
    <row r="23" spans="1:14" x14ac:dyDescent="0.25">
      <c r="A23" s="35">
        <v>19</v>
      </c>
      <c r="B23" s="36" t="s">
        <v>42</v>
      </c>
      <c r="C23" s="36" t="s">
        <v>10</v>
      </c>
      <c r="D23" s="35">
        <v>20</v>
      </c>
      <c r="E23" s="36">
        <v>3.8</v>
      </c>
      <c r="F23" s="36">
        <f>IF(tbl_Estoque[[#This Row],[Quantidade]]="","",tbl_Estoque[[#This Row],[Quantidade]]*tbl_Estoque[[#This Row],[Custo Unitário]])</f>
        <v>76</v>
      </c>
      <c r="G23" s="35">
        <v>5</v>
      </c>
      <c r="H23" s="36" t="s">
        <v>27</v>
      </c>
      <c r="I23" s="36" t="str">
        <f t="shared" si="0"/>
        <v>OK</v>
      </c>
      <c r="J23"/>
      <c r="K23" s="169" t="s">
        <v>324</v>
      </c>
      <c r="L23" s="97"/>
      <c r="M23" s="184">
        <f>SUMIFS(tbl_Estoque[Custo Total],tbl_Estoque[Fornecedor],"*Carnes*")+SUMIFS(tbl_Estoque[Custo Total],tbl_Estoque[Fornecedor],"*Frios*")</f>
        <v>5661</v>
      </c>
      <c r="N23" s="95"/>
    </row>
    <row r="24" spans="1:14" x14ac:dyDescent="0.25">
      <c r="A24" s="32">
        <v>20</v>
      </c>
      <c r="B24" s="33" t="s">
        <v>43</v>
      </c>
      <c r="C24" s="33" t="s">
        <v>10</v>
      </c>
      <c r="D24" s="32">
        <v>30</v>
      </c>
      <c r="E24" s="33">
        <v>6.5</v>
      </c>
      <c r="F24" s="33">
        <f>IF(tbl_Estoque[[#This Row],[Quantidade]]="","",tbl_Estoque[[#This Row],[Quantidade]]*tbl_Estoque[[#This Row],[Custo Unitário]])</f>
        <v>195</v>
      </c>
      <c r="G24" s="32">
        <v>8</v>
      </c>
      <c r="H24" s="33" t="s">
        <v>33</v>
      </c>
      <c r="I24" s="33" t="str">
        <f t="shared" si="0"/>
        <v>OK</v>
      </c>
      <c r="J24"/>
      <c r="K24" s="169" t="s">
        <v>325</v>
      </c>
      <c r="L24" s="97"/>
      <c r="M24" s="184">
        <f>SUMIFS(tbl_Estoque[Custo Total],tbl_Estoque[Fornecedor],"*Laticínios*")</f>
        <v>582</v>
      </c>
      <c r="N24" s="95"/>
    </row>
    <row r="25" spans="1:14" x14ac:dyDescent="0.25">
      <c r="A25" s="35">
        <v>21</v>
      </c>
      <c r="B25" s="36" t="s">
        <v>61</v>
      </c>
      <c r="C25" s="36" t="s">
        <v>10</v>
      </c>
      <c r="D25" s="35">
        <v>2</v>
      </c>
      <c r="E25" s="36">
        <v>47</v>
      </c>
      <c r="F25" s="36">
        <f>IF(tbl_Estoque[[#This Row],[Quantidade]]="","",tbl_Estoque[[#This Row],[Quantidade]]*tbl_Estoque[[#This Row],[Custo Unitário]])</f>
        <v>94</v>
      </c>
      <c r="G25" s="35">
        <v>5</v>
      </c>
      <c r="H25" s="36" t="s">
        <v>13</v>
      </c>
      <c r="I25" s="36" t="str">
        <f t="shared" si="0"/>
        <v>Crítico</v>
      </c>
      <c r="J25"/>
      <c r="K25" s="181" t="s">
        <v>326</v>
      </c>
      <c r="L25" s="97"/>
      <c r="M25" s="184">
        <f>SUMIFS(tbl_Estoque[Custo Total],tbl_Estoque[Fornecedor],"*Doces*")</f>
        <v>3525.9</v>
      </c>
      <c r="N25" s="95"/>
    </row>
    <row r="26" spans="1:14" x14ac:dyDescent="0.25">
      <c r="A26" s="35">
        <v>22</v>
      </c>
      <c r="B26" s="36" t="s">
        <v>62</v>
      </c>
      <c r="C26" s="36" t="s">
        <v>10</v>
      </c>
      <c r="D26" s="35">
        <v>35</v>
      </c>
      <c r="E26" s="36">
        <v>72</v>
      </c>
      <c r="F26" s="36">
        <f>IF(tbl_Estoque[[#This Row],[Quantidade]]="","",tbl_Estoque[[#This Row],[Quantidade]]*tbl_Estoque[[#This Row],[Custo Unitário]])</f>
        <v>2520</v>
      </c>
      <c r="G26" s="35">
        <v>4</v>
      </c>
      <c r="H26" s="36" t="s">
        <v>63</v>
      </c>
      <c r="I26" s="36" t="str">
        <f t="shared" si="0"/>
        <v>OK</v>
      </c>
      <c r="J26"/>
      <c r="K26" s="169" t="s">
        <v>327</v>
      </c>
      <c r="L26" s="97"/>
      <c r="M26" s="184">
        <f>SUMIFS(tbl_Estoque[Custo Total],tbl_Estoque[Fornecedor],"*Hortifruti*")+SUMIFS(tbl_Estoque[Custo Total],tbl_Estoque[Fornecedor],"*Granja*")</f>
        <v>1851.5</v>
      </c>
      <c r="N26" s="95"/>
    </row>
    <row r="27" spans="1:14" x14ac:dyDescent="0.25">
      <c r="A27" s="32">
        <v>23</v>
      </c>
      <c r="B27" s="33" t="s">
        <v>64</v>
      </c>
      <c r="C27" s="33" t="s">
        <v>10</v>
      </c>
      <c r="D27" s="32">
        <v>18</v>
      </c>
      <c r="E27" s="33">
        <v>59</v>
      </c>
      <c r="F27" s="33">
        <f>IF(tbl_Estoque[[#This Row],[Quantidade]]="","",tbl_Estoque[[#This Row],[Quantidade]]*tbl_Estoque[[#This Row],[Custo Unitário]])</f>
        <v>1062</v>
      </c>
      <c r="G27" s="32">
        <v>4</v>
      </c>
      <c r="H27" s="33" t="s">
        <v>65</v>
      </c>
      <c r="I27" s="33" t="str">
        <f t="shared" si="0"/>
        <v>OK</v>
      </c>
      <c r="J27"/>
      <c r="K27" s="169" t="s">
        <v>328</v>
      </c>
      <c r="L27" s="94"/>
      <c r="M27" s="184">
        <f>SUMIFS(tbl_Estoque[Custo Total],tbl_Estoque[Fornecedor],"*Conservas*")</f>
        <v>2756.5</v>
      </c>
      <c r="N27" s="95"/>
    </row>
    <row r="28" spans="1:14" x14ac:dyDescent="0.25">
      <c r="A28" s="35">
        <v>24</v>
      </c>
      <c r="B28" s="36" t="s">
        <v>66</v>
      </c>
      <c r="C28" s="36" t="s">
        <v>14</v>
      </c>
      <c r="D28" s="35">
        <v>70</v>
      </c>
      <c r="E28" s="36">
        <v>13.2</v>
      </c>
      <c r="F28" s="36">
        <f>IF(tbl_Estoque[[#This Row],[Quantidade]]="","",tbl_Estoque[[#This Row],[Quantidade]]*tbl_Estoque[[#This Row],[Custo Unitário]])</f>
        <v>924</v>
      </c>
      <c r="G28" s="35">
        <v>12</v>
      </c>
      <c r="H28" s="36" t="s">
        <v>29</v>
      </c>
      <c r="I28" s="36" t="str">
        <f t="shared" si="0"/>
        <v>OK</v>
      </c>
      <c r="J28"/>
      <c r="K28" s="169" t="s">
        <v>329</v>
      </c>
      <c r="L28" s="94"/>
      <c r="M28" s="184">
        <f>SUMIFS(tbl_Estoque[Custo Total],tbl_Estoque[Fornecedor],"*Temperos*")</f>
        <v>466</v>
      </c>
      <c r="N28" s="95"/>
    </row>
    <row r="29" spans="1:14" ht="19.5" thickBot="1" x14ac:dyDescent="0.3">
      <c r="A29" s="35">
        <v>25</v>
      </c>
      <c r="B29" s="36" t="s">
        <v>67</v>
      </c>
      <c r="C29" s="36" t="s">
        <v>10</v>
      </c>
      <c r="D29" s="35">
        <v>4</v>
      </c>
      <c r="E29" s="36">
        <v>41</v>
      </c>
      <c r="F29" s="36">
        <f>IF(tbl_Estoque[[#This Row],[Quantidade]]="","",tbl_Estoque[[#This Row],[Quantidade]]*tbl_Estoque[[#This Row],[Custo Unitário]])</f>
        <v>164</v>
      </c>
      <c r="G29" s="35">
        <v>5</v>
      </c>
      <c r="H29" s="36" t="s">
        <v>19</v>
      </c>
      <c r="I29" s="36" t="str">
        <f t="shared" si="0"/>
        <v>Baixo</v>
      </c>
      <c r="J29"/>
      <c r="K29" s="169" t="s">
        <v>330</v>
      </c>
      <c r="L29" s="94"/>
      <c r="M29" s="184">
        <f>SUMIFS(tbl_Estoque[Custo Total],tbl_Estoque[Fornecedor],"*Farinha*")+SUMIFS(tbl_Estoque[Custo Total],tbl_Estoque[Fornecedor],"*Secos*")+SUMIFS(tbl_Estoque[Custo Total],tbl_Estoque[Fornecedor],"*Óleos*")</f>
        <v>606.5</v>
      </c>
      <c r="N29" s="95"/>
    </row>
    <row r="30" spans="1:14" x14ac:dyDescent="0.25">
      <c r="A30" s="32">
        <v>26</v>
      </c>
      <c r="B30" s="33" t="s">
        <v>68</v>
      </c>
      <c r="C30" s="33" t="s">
        <v>12</v>
      </c>
      <c r="D30" s="32">
        <v>35</v>
      </c>
      <c r="E30" s="33">
        <v>11</v>
      </c>
      <c r="F30" s="33">
        <f>IF(tbl_Estoque[[#This Row],[Quantidade]]="","",tbl_Estoque[[#This Row],[Quantidade]]*tbl_Estoque[[#This Row],[Custo Unitário]])</f>
        <v>385</v>
      </c>
      <c r="G30" s="32">
        <v>8</v>
      </c>
      <c r="H30" s="33" t="s">
        <v>29</v>
      </c>
      <c r="I30" s="33" t="str">
        <f t="shared" si="0"/>
        <v>OK</v>
      </c>
      <c r="J30"/>
      <c r="K30" s="176" t="s">
        <v>331</v>
      </c>
      <c r="L30" s="177"/>
      <c r="M30" s="185">
        <f>SUM(M23:M29)</f>
        <v>15449.4</v>
      </c>
      <c r="N30" s="178"/>
    </row>
    <row r="31" spans="1:14" x14ac:dyDescent="0.25">
      <c r="A31" s="35">
        <v>27</v>
      </c>
      <c r="B31" s="36" t="s">
        <v>69</v>
      </c>
      <c r="C31" s="36" t="s">
        <v>14</v>
      </c>
      <c r="D31" s="35">
        <v>180</v>
      </c>
      <c r="E31" s="36">
        <v>0.8</v>
      </c>
      <c r="F31" s="36">
        <f>IF(tbl_Estoque[[#This Row],[Quantidade]]="","",tbl_Estoque[[#This Row],[Quantidade]]*tbl_Estoque[[#This Row],[Custo Unitário]])</f>
        <v>144</v>
      </c>
      <c r="G31" s="35">
        <v>40</v>
      </c>
      <c r="H31" s="36" t="s">
        <v>70</v>
      </c>
      <c r="I31" s="36" t="str">
        <f t="shared" si="0"/>
        <v>OK</v>
      </c>
      <c r="J31"/>
    </row>
    <row r="32" spans="1:14" x14ac:dyDescent="0.25">
      <c r="A32" s="35">
        <v>28</v>
      </c>
      <c r="B32" s="36" t="s">
        <v>71</v>
      </c>
      <c r="C32" s="36" t="s">
        <v>10</v>
      </c>
      <c r="D32" s="35">
        <v>50</v>
      </c>
      <c r="E32" s="36">
        <v>10.199999999999999</v>
      </c>
      <c r="F32" s="36">
        <f>IF(tbl_Estoque[[#This Row],[Quantidade]]="","",tbl_Estoque[[#This Row],[Quantidade]]*tbl_Estoque[[#This Row],[Custo Unitário]])</f>
        <v>509.99999999999994</v>
      </c>
      <c r="G32" s="35">
        <v>10</v>
      </c>
      <c r="H32" s="36" t="s">
        <v>24</v>
      </c>
      <c r="I32" s="36" t="str">
        <f t="shared" si="0"/>
        <v>OK</v>
      </c>
      <c r="J32"/>
    </row>
    <row r="33" spans="1:10" x14ac:dyDescent="0.25">
      <c r="A33" s="32">
        <v>29</v>
      </c>
      <c r="B33" s="33" t="s">
        <v>72</v>
      </c>
      <c r="C33" s="33" t="s">
        <v>12</v>
      </c>
      <c r="D33" s="32">
        <v>45</v>
      </c>
      <c r="E33" s="33">
        <v>14.5</v>
      </c>
      <c r="F33" s="33">
        <f>IF(tbl_Estoque[[#This Row],[Quantidade]]="","",tbl_Estoque[[#This Row],[Quantidade]]*tbl_Estoque[[#This Row],[Custo Unitário]])</f>
        <v>652.5</v>
      </c>
      <c r="G33" s="32">
        <v>10</v>
      </c>
      <c r="H33" s="33" t="s">
        <v>29</v>
      </c>
      <c r="I33" s="33" t="str">
        <f t="shared" si="0"/>
        <v>OK</v>
      </c>
      <c r="J33"/>
    </row>
    <row r="34" spans="1:10" x14ac:dyDescent="0.25">
      <c r="A34" s="35">
        <v>30</v>
      </c>
      <c r="B34" s="36" t="s">
        <v>73</v>
      </c>
      <c r="C34" s="36" t="s">
        <v>10</v>
      </c>
      <c r="D34" s="35">
        <v>18</v>
      </c>
      <c r="E34" s="36">
        <v>33</v>
      </c>
      <c r="F34" s="36">
        <f>IF(tbl_Estoque[[#This Row],[Quantidade]]="","",tbl_Estoque[[#This Row],[Quantidade]]*tbl_Estoque[[#This Row],[Custo Unitário]])</f>
        <v>594</v>
      </c>
      <c r="G34" s="35">
        <v>5</v>
      </c>
      <c r="H34" s="36" t="s">
        <v>33</v>
      </c>
      <c r="I34" s="36" t="str">
        <f t="shared" si="0"/>
        <v>OK</v>
      </c>
      <c r="J34"/>
    </row>
    <row r="35" spans="1:10" x14ac:dyDescent="0.25">
      <c r="A35" s="35">
        <v>31</v>
      </c>
      <c r="B35" s="36" t="s">
        <v>74</v>
      </c>
      <c r="C35" s="36" t="s">
        <v>10</v>
      </c>
      <c r="D35" s="35">
        <v>20</v>
      </c>
      <c r="E35" s="36">
        <v>20.5</v>
      </c>
      <c r="F35" s="36">
        <f>IF(tbl_Estoque[[#This Row],[Quantidade]]="","",tbl_Estoque[[#This Row],[Quantidade]]*tbl_Estoque[[#This Row],[Custo Unitário]])</f>
        <v>410</v>
      </c>
      <c r="G35" s="35">
        <v>5</v>
      </c>
      <c r="H35" s="36" t="s">
        <v>24</v>
      </c>
      <c r="I35" s="36" t="str">
        <f t="shared" si="0"/>
        <v>OK</v>
      </c>
      <c r="J35"/>
    </row>
    <row r="36" spans="1:10" x14ac:dyDescent="0.25">
      <c r="A36" s="32">
        <v>32</v>
      </c>
      <c r="B36" s="33" t="s">
        <v>75</v>
      </c>
      <c r="C36" s="33" t="s">
        <v>10</v>
      </c>
      <c r="D36" s="32">
        <v>15</v>
      </c>
      <c r="E36" s="33">
        <v>46</v>
      </c>
      <c r="F36" s="33">
        <f>IF(tbl_Estoque[[#This Row],[Quantidade]]="","",tbl_Estoque[[#This Row],[Quantidade]]*tbl_Estoque[[#This Row],[Custo Unitário]])</f>
        <v>690</v>
      </c>
      <c r="G36" s="32">
        <v>4</v>
      </c>
      <c r="H36" s="33" t="s">
        <v>76</v>
      </c>
      <c r="I36" s="33" t="str">
        <f t="shared" si="0"/>
        <v>OK</v>
      </c>
      <c r="J36"/>
    </row>
    <row r="37" spans="1:10" x14ac:dyDescent="0.25">
      <c r="A37" s="35">
        <v>33</v>
      </c>
      <c r="B37" s="36" t="s">
        <v>77</v>
      </c>
      <c r="C37" s="36" t="s">
        <v>10</v>
      </c>
      <c r="D37" s="35">
        <v>18</v>
      </c>
      <c r="E37" s="36">
        <v>16.8</v>
      </c>
      <c r="F37" s="36">
        <f>IF(tbl_Estoque[[#This Row],[Quantidade]]="","",tbl_Estoque[[#This Row],[Quantidade]]*tbl_Estoque[[#This Row],[Custo Unitário]])</f>
        <v>302.40000000000003</v>
      </c>
      <c r="G37" s="35">
        <v>5</v>
      </c>
      <c r="H37" s="36" t="s">
        <v>33</v>
      </c>
      <c r="I37" s="36" t="str">
        <f t="shared" si="0"/>
        <v>OK</v>
      </c>
      <c r="J37"/>
    </row>
    <row r="38" spans="1:10" x14ac:dyDescent="0.25">
      <c r="A38" s="35">
        <v>34</v>
      </c>
      <c r="B38" s="36" t="s">
        <v>78</v>
      </c>
      <c r="C38" s="36" t="s">
        <v>10</v>
      </c>
      <c r="D38" s="35">
        <v>22</v>
      </c>
      <c r="E38" s="36">
        <v>25.5</v>
      </c>
      <c r="F38" s="36">
        <f>IF(tbl_Estoque[[#This Row],[Quantidade]]="","",tbl_Estoque[[#This Row],[Quantidade]]*tbl_Estoque[[#This Row],[Custo Unitário]])</f>
        <v>561</v>
      </c>
      <c r="G38" s="35">
        <v>5</v>
      </c>
      <c r="H38" s="36" t="s">
        <v>33</v>
      </c>
      <c r="I38" s="36" t="str">
        <f t="shared" si="0"/>
        <v>OK</v>
      </c>
      <c r="J38"/>
    </row>
    <row r="39" spans="1:10" x14ac:dyDescent="0.25">
      <c r="A39" s="32">
        <v>35</v>
      </c>
      <c r="B39" s="33" t="s">
        <v>79</v>
      </c>
      <c r="C39" s="33" t="s">
        <v>8</v>
      </c>
      <c r="D39" s="32">
        <v>900</v>
      </c>
      <c r="E39" s="33">
        <v>0.14000000000000001</v>
      </c>
      <c r="F39" s="33">
        <f>IF(tbl_Estoque[[#This Row],[Quantidade]]="","",tbl_Estoque[[#This Row],[Quantidade]]*tbl_Estoque[[#This Row],[Custo Unitário]])</f>
        <v>126.00000000000001</v>
      </c>
      <c r="G39" s="32">
        <v>200</v>
      </c>
      <c r="H39" s="33" t="s">
        <v>27</v>
      </c>
      <c r="I39" s="33" t="str">
        <f t="shared" si="0"/>
        <v>OK</v>
      </c>
      <c r="J39"/>
    </row>
    <row r="40" spans="1:10" x14ac:dyDescent="0.25">
      <c r="A40" s="35">
        <v>36</v>
      </c>
      <c r="B40" s="36" t="s">
        <v>144</v>
      </c>
      <c r="C40" s="36" t="s">
        <v>10</v>
      </c>
      <c r="D40" s="35">
        <v>15</v>
      </c>
      <c r="E40" s="36">
        <v>28</v>
      </c>
      <c r="F40" s="36">
        <f>IF(tbl_Estoque[[#This Row],[Quantidade]]="","",tbl_Estoque[[#This Row],[Quantidade]]*tbl_Estoque[[#This Row],[Custo Unitário]])</f>
        <v>420</v>
      </c>
      <c r="G40" s="35">
        <v>4</v>
      </c>
      <c r="H40" s="36"/>
      <c r="I40" s="36" t="str">
        <f t="shared" si="0"/>
        <v>OK</v>
      </c>
      <c r="J40"/>
    </row>
    <row r="41" spans="1:10" x14ac:dyDescent="0.25">
      <c r="J41"/>
    </row>
    <row r="42" spans="1:10" ht="21" x14ac:dyDescent="0.25">
      <c r="F42" s="98"/>
      <c r="J42"/>
    </row>
    <row r="43" spans="1:10" x14ac:dyDescent="0.25">
      <c r="J43"/>
    </row>
    <row r="44" spans="1:10" x14ac:dyDescent="0.25">
      <c r="J44"/>
    </row>
    <row r="45" spans="1:10" x14ac:dyDescent="0.25">
      <c r="J45"/>
    </row>
    <row r="46" spans="1:10" x14ac:dyDescent="0.25">
      <c r="J46"/>
    </row>
    <row r="47" spans="1:10" x14ac:dyDescent="0.25">
      <c r="J47"/>
    </row>
    <row r="48" spans="1:10" x14ac:dyDescent="0.25">
      <c r="J48"/>
    </row>
    <row r="49" spans="10:10" x14ac:dyDescent="0.25">
      <c r="J49"/>
    </row>
    <row r="50" spans="10:10" x14ac:dyDescent="0.25">
      <c r="J50"/>
    </row>
    <row r="51" spans="10:10" x14ac:dyDescent="0.25">
      <c r="J51"/>
    </row>
  </sheetData>
  <mergeCells count="5">
    <mergeCell ref="A1:I1"/>
    <mergeCell ref="K4:N4"/>
    <mergeCell ref="K9:N9"/>
    <mergeCell ref="K14:N14"/>
    <mergeCell ref="K21:N21"/>
  </mergeCells>
  <phoneticPr fontId="12" type="noConversion"/>
  <conditionalFormatting sqref="I5:I40">
    <cfRule type="containsText" dxfId="18" priority="1" operator="containsText" text="Crítico">
      <formula>NOT(ISERROR(SEARCH("Crítico",I5)))</formula>
    </cfRule>
    <cfRule type="containsText" dxfId="17" priority="2" operator="containsText" text="Baixo">
      <formula>NOT(ISERROR(SEARCH("Baixo",I5)))</formula>
    </cfRule>
    <cfRule type="containsText" dxfId="16" priority="3" operator="containsText" text="OK">
      <formula>NOT(ISERROR(SEARCH("OK",I5)))</formula>
    </cfRule>
  </conditionalFormatting>
  <pageMargins left="0.7" right="0.7" top="0.75" bottom="0.75" header="0.3" footer="0.3"/>
  <ignoredErrors>
    <ignoredError sqref="I5:I40" calculatedColum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19112-34E2-41A2-944E-A1CD4EB3D47C}">
  <sheetPr codeName="Sheet2"/>
  <dimension ref="A1:M39"/>
  <sheetViews>
    <sheetView showGridLines="0" topLeftCell="A5" zoomScale="104" zoomScaleNormal="100" workbookViewId="0">
      <selection activeCell="J29" sqref="J29"/>
    </sheetView>
  </sheetViews>
  <sheetFormatPr defaultRowHeight="15" x14ac:dyDescent="0.25"/>
  <cols>
    <col min="1" max="1" width="18" style="6" bestFit="1" customWidth="1"/>
    <col min="2" max="2" width="29.7109375" style="1" bestFit="1" customWidth="1"/>
    <col min="3" max="3" width="13.7109375" style="1" bestFit="1" customWidth="1"/>
    <col min="4" max="4" width="72" style="2" bestFit="1" customWidth="1"/>
    <col min="5" max="5" width="20.28515625" style="99" bestFit="1" customWidth="1"/>
    <col min="6" max="6" width="16.7109375" style="4" bestFit="1" customWidth="1"/>
    <col min="7" max="7" width="22.140625" style="4" bestFit="1" customWidth="1"/>
    <col min="8" max="8" width="12.5703125" style="104" bestFit="1" customWidth="1"/>
    <col min="9" max="9" width="2.85546875" style="1" customWidth="1"/>
    <col min="10" max="10" width="26.5703125" style="1" bestFit="1" customWidth="1"/>
    <col min="11" max="11" width="3.85546875" style="1" customWidth="1"/>
    <col min="12" max="12" width="15" style="1" bestFit="1" customWidth="1"/>
    <col min="13" max="13" width="3.85546875" style="1" customWidth="1"/>
    <col min="14" max="16384" width="9.140625" style="1"/>
  </cols>
  <sheetData>
    <row r="1" spans="1:13" ht="39.950000000000003" customHeight="1" x14ac:dyDescent="0.25">
      <c r="A1" s="249" t="s">
        <v>295</v>
      </c>
      <c r="B1" s="250"/>
      <c r="C1" s="250"/>
      <c r="D1" s="250"/>
      <c r="E1" s="250"/>
      <c r="F1" s="250"/>
      <c r="G1" s="250"/>
      <c r="H1" s="250"/>
    </row>
    <row r="2" spans="1:13" x14ac:dyDescent="0.25">
      <c r="A2" s="73"/>
      <c r="D2" s="62">
        <f ca="1">NOW()</f>
        <v>46127.428972106478</v>
      </c>
    </row>
    <row r="3" spans="1:13" ht="8.1" customHeight="1" x14ac:dyDescent="0.25">
      <c r="A3" s="74"/>
      <c r="B3" s="75"/>
      <c r="C3" s="75"/>
      <c r="D3" s="76"/>
      <c r="E3" s="100"/>
      <c r="F3" s="77"/>
      <c r="G3" s="77"/>
      <c r="H3" s="105"/>
    </row>
    <row r="4" spans="1:13" ht="24.95" customHeight="1" x14ac:dyDescent="0.25">
      <c r="A4" s="78" t="s">
        <v>0</v>
      </c>
      <c r="B4" s="79" t="s">
        <v>47</v>
      </c>
      <c r="C4" s="79" t="s">
        <v>48</v>
      </c>
      <c r="D4" s="80" t="s">
        <v>49</v>
      </c>
      <c r="E4" s="101" t="s">
        <v>50</v>
      </c>
      <c r="F4" s="81" t="s">
        <v>58</v>
      </c>
      <c r="G4" s="81" t="s">
        <v>59</v>
      </c>
      <c r="H4" s="106" t="s">
        <v>60</v>
      </c>
      <c r="J4" s="251" t="s">
        <v>296</v>
      </c>
      <c r="K4" s="252"/>
      <c r="L4" s="252"/>
      <c r="M4" s="253"/>
    </row>
    <row r="5" spans="1:13" ht="16.5" x14ac:dyDescent="0.25">
      <c r="A5" s="35">
        <v>1</v>
      </c>
      <c r="B5" s="36" t="s">
        <v>87</v>
      </c>
      <c r="C5" s="36" t="s">
        <v>51</v>
      </c>
      <c r="D5" s="36" t="s">
        <v>91</v>
      </c>
      <c r="E5" s="102">
        <v>0.75</v>
      </c>
      <c r="F5" s="61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63.99</v>
      </c>
      <c r="G5" s="36">
        <f>tbl_Pizzas[[#This Row],[Preço Venda]]-VLOOKUP(tbl_Pizzas[[#This Row],[ID]],tbl_FichaTecnica[[ID]:[Custo Total da Pizza]],8,FALSE)</f>
        <v>47.996900000000004</v>
      </c>
      <c r="H5" s="107">
        <f>IF(tbl_Pizzas[[#This Row],[Preço Venda]]=0,0,tbl_Pizzas[[#This Row],[Lucro Líquido (R$)]]/tbl_Pizzas[[#This Row],[Preço Venda]])</f>
        <v>0.7500687607438663</v>
      </c>
      <c r="J5" s="130" t="s">
        <v>297</v>
      </c>
      <c r="K5" s="131"/>
      <c r="L5" s="132">
        <f>COUNTA(tbl_Pizzas[Nome])</f>
        <v>35</v>
      </c>
      <c r="M5" s="133"/>
    </row>
    <row r="6" spans="1:13" ht="16.5" x14ac:dyDescent="0.25">
      <c r="A6" s="32">
        <v>2</v>
      </c>
      <c r="B6" s="33" t="s">
        <v>18</v>
      </c>
      <c r="C6" s="33" t="s">
        <v>52</v>
      </c>
      <c r="D6" s="33" t="s">
        <v>92</v>
      </c>
      <c r="E6" s="103">
        <v>0.78</v>
      </c>
      <c r="F6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112.99</v>
      </c>
      <c r="G6" s="33">
        <f>tbl_Pizzas[[#This Row],[Preço Venda]]-VLOOKUP(tbl_Pizzas[[#This Row],[ID]],tbl_FichaTecnica[[ID]:[Custo Total da Pizza]],8,FALSE)</f>
        <v>88.134119999999996</v>
      </c>
      <c r="H6" s="108">
        <f>IF(tbl_Pizzas[[#This Row],[Preço Venda]]=0,0,tbl_Pizzas[[#This Row],[Lucro Líquido (R$)]]/tbl_Pizzas[[#This Row],[Preço Venda]])</f>
        <v>0.7800169926542172</v>
      </c>
      <c r="J6" s="130" t="s">
        <v>298</v>
      </c>
      <c r="K6" s="131"/>
      <c r="L6" s="166">
        <f>AVERAGE(tbl_Pizzas[Preço Venda])</f>
        <v>107.38999999999992</v>
      </c>
      <c r="M6" s="133"/>
    </row>
    <row r="7" spans="1:13" ht="16.5" x14ac:dyDescent="0.25">
      <c r="A7" s="35">
        <v>3</v>
      </c>
      <c r="B7" s="36" t="s">
        <v>22</v>
      </c>
      <c r="C7" s="36" t="s">
        <v>52</v>
      </c>
      <c r="D7" s="36" t="s">
        <v>93</v>
      </c>
      <c r="E7" s="102">
        <v>0.76</v>
      </c>
      <c r="F7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105.99</v>
      </c>
      <c r="G7" s="36">
        <f>tbl_Pizzas[[#This Row],[Preço Venda]]-VLOOKUP(tbl_Pizzas[[#This Row],[ID]],tbl_FichaTecnica[[ID]:[Custo Total da Pizza]],8,FALSE)</f>
        <v>80.595119999999994</v>
      </c>
      <c r="H7" s="107">
        <f>IF(tbl_Pizzas[[#This Row],[Preço Venda]]=0,0,tbl_Pizzas[[#This Row],[Lucro Líquido (R$)]]/tbl_Pizzas[[#This Row],[Preço Venda]])</f>
        <v>0.76040305689215959</v>
      </c>
      <c r="J7" s="130" t="s">
        <v>299</v>
      </c>
      <c r="K7" s="131"/>
      <c r="L7" s="166">
        <f>AVERAGE(tbl_Pizzas[Lucro Líquido (R$)])</f>
        <v>83.785487999999987</v>
      </c>
      <c r="M7" s="133"/>
    </row>
    <row r="8" spans="1:13" ht="16.5" x14ac:dyDescent="0.25">
      <c r="A8" s="32">
        <v>4</v>
      </c>
      <c r="B8" s="33" t="s">
        <v>53</v>
      </c>
      <c r="C8" s="33" t="s">
        <v>52</v>
      </c>
      <c r="D8" s="33" t="s">
        <v>94</v>
      </c>
      <c r="E8" s="103">
        <v>0.74</v>
      </c>
      <c r="F8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94.99</v>
      </c>
      <c r="G8" s="33">
        <f>tbl_Pizzas[[#This Row],[Preço Venda]]-VLOOKUP(tbl_Pizzas[[#This Row],[ID]],tbl_FichaTecnica[[ID]:[Custo Total da Pizza]],8,FALSE)</f>
        <v>70.358999999999995</v>
      </c>
      <c r="H8" s="108">
        <f>IF(tbl_Pizzas[[#This Row],[Preço Venda]]=0,0,tbl_Pizzas[[#This Row],[Lucro Líquido (R$)]]/tbl_Pizzas[[#This Row],[Preço Venda]])</f>
        <v>0.74069902094957363</v>
      </c>
      <c r="J8" s="134" t="s">
        <v>300</v>
      </c>
      <c r="K8" s="135"/>
      <c r="L8" s="136">
        <f>AVERAGE(tbl_Pizzas[Lucro %])</f>
        <v>0.77833119105409954</v>
      </c>
      <c r="M8" s="137"/>
    </row>
    <row r="9" spans="1:13" ht="16.5" x14ac:dyDescent="0.25">
      <c r="A9" s="35">
        <v>5</v>
      </c>
      <c r="B9" s="36" t="s">
        <v>54</v>
      </c>
      <c r="C9" s="36" t="s">
        <v>52</v>
      </c>
      <c r="D9" s="36" t="s">
        <v>95</v>
      </c>
      <c r="E9" s="102">
        <v>0.77</v>
      </c>
      <c r="F9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116.99</v>
      </c>
      <c r="G9" s="36">
        <f>tbl_Pizzas[[#This Row],[Preço Venda]]-VLOOKUP(tbl_Pizzas[[#This Row],[ID]],tbl_FichaTecnica[[ID]:[Custo Total da Pizza]],8,FALSE)</f>
        <v>90.304999999999993</v>
      </c>
      <c r="H9" s="107">
        <f>IF(tbl_Pizzas[[#This Row],[Preço Venda]]=0,0,tbl_Pizzas[[#This Row],[Lucro Líquido (R$)]]/tbl_Pizzas[[#This Row],[Preço Venda]])</f>
        <v>0.77190358150269256</v>
      </c>
      <c r="L9" s="114"/>
    </row>
    <row r="10" spans="1:13" ht="16.5" x14ac:dyDescent="0.25">
      <c r="A10" s="35">
        <v>6</v>
      </c>
      <c r="B10" s="36" t="s">
        <v>55</v>
      </c>
      <c r="C10" s="36" t="s">
        <v>51</v>
      </c>
      <c r="D10" s="36" t="s">
        <v>96</v>
      </c>
      <c r="E10" s="102">
        <v>0.82</v>
      </c>
      <c r="F10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101.99</v>
      </c>
      <c r="G10" s="36">
        <f>tbl_Pizzas[[#This Row],[Preço Venda]]-VLOOKUP(tbl_Pizzas[[#This Row],[ID]],tbl_FichaTecnica[[ID]:[Custo Total da Pizza]],8,FALSE)</f>
        <v>83.765000000000001</v>
      </c>
      <c r="H10" s="107">
        <f>IF(tbl_Pizzas[[#This Row],[Preço Venda]]=0,0,tbl_Pizzas[[#This Row],[Lucro Líquido (R$)]]/tbl_Pizzas[[#This Row],[Preço Venda]])</f>
        <v>0.82130601039317586</v>
      </c>
      <c r="J10" s="254" t="s">
        <v>301</v>
      </c>
      <c r="K10" s="255"/>
      <c r="L10" s="263"/>
      <c r="M10" s="256"/>
    </row>
    <row r="11" spans="1:13" ht="16.5" x14ac:dyDescent="0.25">
      <c r="A11" s="32">
        <v>7</v>
      </c>
      <c r="B11" s="33" t="s">
        <v>56</v>
      </c>
      <c r="C11" s="33" t="s">
        <v>52</v>
      </c>
      <c r="D11" s="33" t="s">
        <v>97</v>
      </c>
      <c r="E11" s="103">
        <v>0.8</v>
      </c>
      <c r="F11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55.99</v>
      </c>
      <c r="G11" s="33">
        <f>tbl_Pizzas[[#This Row],[Preço Venda]]-VLOOKUP(tbl_Pizzas[[#This Row],[ID]],tbl_FichaTecnica[[ID]:[Custo Total da Pizza]],8,FALSE)</f>
        <v>44.82</v>
      </c>
      <c r="H11" s="108">
        <f>IF(tbl_Pizzas[[#This Row],[Preço Venda]]=0,0,tbl_Pizzas[[#This Row],[Lucro Líquido (R$)]]/tbl_Pizzas[[#This Row],[Preço Venda]])</f>
        <v>0.80050008930166094</v>
      </c>
      <c r="J11" s="138" t="s">
        <v>335</v>
      </c>
      <c r="K11" s="139"/>
      <c r="L11" s="140">
        <f>COUNTIF(tbl_Pizzas[Tamanho],"Média")</f>
        <v>12</v>
      </c>
      <c r="M11" s="141"/>
    </row>
    <row r="12" spans="1:13" ht="16.5" x14ac:dyDescent="0.25">
      <c r="A12" s="35">
        <v>8</v>
      </c>
      <c r="B12" s="36" t="s">
        <v>64</v>
      </c>
      <c r="C12" s="36" t="s">
        <v>52</v>
      </c>
      <c r="D12" s="36" t="s">
        <v>98</v>
      </c>
      <c r="E12" s="102">
        <v>0.75</v>
      </c>
      <c r="F12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107.99</v>
      </c>
      <c r="G12" s="36">
        <f>tbl_Pizzas[[#This Row],[Preço Venda]]-VLOOKUP(tbl_Pizzas[[#This Row],[ID]],tbl_FichaTecnica[[ID]:[Custo Total da Pizza]],8,FALSE)</f>
        <v>81.008999999999986</v>
      </c>
      <c r="H12" s="107">
        <f>IF(tbl_Pizzas[[#This Row],[Preço Venda]]=0,0,tbl_Pizzas[[#This Row],[Lucro Líquido (R$)]]/tbl_Pizzas[[#This Row],[Preço Venda]])</f>
        <v>0.75015279192517814</v>
      </c>
      <c r="J12" s="142" t="s">
        <v>336</v>
      </c>
      <c r="K12" s="143"/>
      <c r="L12" s="144">
        <f>COUNTIF(tbl_Pizzas[Tamanho],"Grande")</f>
        <v>23</v>
      </c>
      <c r="M12" s="145"/>
    </row>
    <row r="13" spans="1:13" ht="16.5" x14ac:dyDescent="0.25">
      <c r="A13" s="32">
        <v>9</v>
      </c>
      <c r="B13" s="33" t="s">
        <v>82</v>
      </c>
      <c r="C13" s="33" t="s">
        <v>51</v>
      </c>
      <c r="D13" s="33" t="s">
        <v>99</v>
      </c>
      <c r="E13" s="103">
        <v>0.73</v>
      </c>
      <c r="F13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116.99</v>
      </c>
      <c r="G13" s="33">
        <f>tbl_Pizzas[[#This Row],[Preço Venda]]-VLOOKUP(tbl_Pizzas[[#This Row],[ID]],tbl_FichaTecnica[[ID]:[Custo Total da Pizza]],8,FALSE)</f>
        <v>85.580999999999989</v>
      </c>
      <c r="H13" s="108">
        <f>IF(tbl_Pizzas[[#This Row],[Preço Venda]]=0,0,tbl_Pizzas[[#This Row],[Lucro Líquido (R$)]]/tbl_Pizzas[[#This Row],[Preço Venda]])</f>
        <v>0.73152406188563124</v>
      </c>
      <c r="L13" s="114"/>
    </row>
    <row r="14" spans="1:13" ht="16.5" x14ac:dyDescent="0.25">
      <c r="A14" s="35">
        <v>10</v>
      </c>
      <c r="B14" s="36" t="s">
        <v>83</v>
      </c>
      <c r="C14" s="36" t="s">
        <v>52</v>
      </c>
      <c r="D14" s="36" t="s">
        <v>100</v>
      </c>
      <c r="E14" s="102">
        <v>0.76</v>
      </c>
      <c r="F14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100.99</v>
      </c>
      <c r="G14" s="36">
        <f>tbl_Pizzas[[#This Row],[Preço Venda]]-VLOOKUP(tbl_Pizzas[[#This Row],[ID]],tbl_FichaTecnica[[ID]:[Custo Total da Pizza]],8,FALSE)</f>
        <v>76.834999999999994</v>
      </c>
      <c r="H14" s="107">
        <f>IF(tbl_Pizzas[[#This Row],[Preço Venda]]=0,0,tbl_Pizzas[[#This Row],[Lucro Líquido (R$)]]/tbl_Pizzas[[#This Row],[Preço Venda]])</f>
        <v>0.76081790276264971</v>
      </c>
      <c r="J14" s="257" t="s">
        <v>302</v>
      </c>
      <c r="K14" s="258"/>
      <c r="L14" s="264"/>
      <c r="M14" s="259"/>
    </row>
    <row r="15" spans="1:13" ht="16.5" x14ac:dyDescent="0.25">
      <c r="A15" s="35">
        <v>11</v>
      </c>
      <c r="B15" s="36" t="s">
        <v>84</v>
      </c>
      <c r="C15" s="36" t="s">
        <v>52</v>
      </c>
      <c r="D15" s="36" t="s">
        <v>101</v>
      </c>
      <c r="E15" s="102">
        <v>0.74</v>
      </c>
      <c r="F15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94.99</v>
      </c>
      <c r="G15" s="36">
        <f>tbl_Pizzas[[#This Row],[Preço Venda]]-VLOOKUP(tbl_Pizzas[[#This Row],[ID]],tbl_FichaTecnica[[ID]:[Custo Total da Pizza]],8,FALSE)</f>
        <v>70.484999999999999</v>
      </c>
      <c r="H15" s="107">
        <f>IF(tbl_Pizzas[[#This Row],[Preço Venda]]=0,0,tbl_Pizzas[[#This Row],[Lucro Líquido (R$)]]/tbl_Pizzas[[#This Row],[Preço Venda]])</f>
        <v>0.7420254763659333</v>
      </c>
      <c r="J15" s="156" t="s">
        <v>46</v>
      </c>
      <c r="K15" s="157"/>
      <c r="L15" s="158" t="s">
        <v>60</v>
      </c>
      <c r="M15" s="159"/>
    </row>
    <row r="16" spans="1:13" ht="16.5" x14ac:dyDescent="0.25">
      <c r="A16" s="32">
        <v>12</v>
      </c>
      <c r="B16" s="33" t="s">
        <v>85</v>
      </c>
      <c r="C16" s="33" t="s">
        <v>51</v>
      </c>
      <c r="D16" s="33" t="s">
        <v>102</v>
      </c>
      <c r="E16" s="103">
        <v>0.83</v>
      </c>
      <c r="F16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85.99</v>
      </c>
      <c r="G16" s="33">
        <f>tbl_Pizzas[[#This Row],[Preço Venda]]-VLOOKUP(tbl_Pizzas[[#This Row],[ID]],tbl_FichaTecnica[[ID]:[Custo Total da Pizza]],8,FALSE)</f>
        <v>71.36999999999999</v>
      </c>
      <c r="H16" s="108">
        <f>IF(tbl_Pizzas[[#This Row],[Preço Venda]]=0,0,tbl_Pizzas[[#This Row],[Lucro Líquido (R$)]]/tbl_Pizzas[[#This Row],[Preço Venda]])</f>
        <v>0.82998023025933243</v>
      </c>
      <c r="J16" s="146" t="str">
        <f>INDEX(tbl_Pizzas[Nome],MATCH(LARGE(tbl_Pizzas[Lucro %],1),tbl_Pizzas[Lucro %],0))</f>
        <v>Chocolate com Morango</v>
      </c>
      <c r="K16" s="147"/>
      <c r="L16" s="148">
        <f>LARGE(tbl_Pizzas[Lucro %],1)</f>
        <v>0.85062306532264464</v>
      </c>
      <c r="M16" s="149"/>
    </row>
    <row r="17" spans="1:13" ht="16.5" x14ac:dyDescent="0.25">
      <c r="A17" s="35">
        <v>13</v>
      </c>
      <c r="B17" s="36" t="s">
        <v>88</v>
      </c>
      <c r="C17" s="36" t="s">
        <v>52</v>
      </c>
      <c r="D17" s="36" t="s">
        <v>103</v>
      </c>
      <c r="E17" s="102">
        <v>0.81</v>
      </c>
      <c r="F17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75.989999999999995</v>
      </c>
      <c r="G17" s="36">
        <f>tbl_Pizzas[[#This Row],[Preço Venda]]-VLOOKUP(tbl_Pizzas[[#This Row],[ID]],tbl_FichaTecnica[[ID]:[Custo Total da Pizza]],8,FALSE)</f>
        <v>61.688599999999994</v>
      </c>
      <c r="H17" s="107">
        <f>IF(tbl_Pizzas[[#This Row],[Preço Venda]]=0,0,tbl_Pizzas[[#This Row],[Lucro Líquido (R$)]]/tbl_Pizzas[[#This Row],[Preço Venda]])</f>
        <v>0.81179892091064609</v>
      </c>
      <c r="J17" s="146" t="str">
        <f>INDEX(tbl_Pizzas[Nome],MATCH(LARGE(tbl_Pizzas[Lucro %],2),tbl_Pizzas[Lucro %],0))</f>
        <v>Doce de Leite com Chocolate</v>
      </c>
      <c r="K17" s="147"/>
      <c r="L17" s="148">
        <f>LARGE(tbl_Pizzas[Lucro %],2)</f>
        <v>0.84036122098664079</v>
      </c>
      <c r="M17" s="149"/>
    </row>
    <row r="18" spans="1:13" ht="16.5" x14ac:dyDescent="0.25">
      <c r="A18" s="32">
        <v>14</v>
      </c>
      <c r="B18" s="33" t="s">
        <v>86</v>
      </c>
      <c r="C18" s="33" t="s">
        <v>52</v>
      </c>
      <c r="D18" s="33" t="s">
        <v>104</v>
      </c>
      <c r="E18" s="103">
        <v>0.76</v>
      </c>
      <c r="F18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122.99</v>
      </c>
      <c r="G18" s="33">
        <f>tbl_Pizzas[[#This Row],[Preço Venda]]-VLOOKUP(tbl_Pizzas[[#This Row],[ID]],tbl_FichaTecnica[[ID]:[Custo Total da Pizza]],8,FALSE)</f>
        <v>93.495999999999995</v>
      </c>
      <c r="H18" s="108">
        <f>IF(tbl_Pizzas[[#This Row],[Preço Venda]]=0,0,tbl_Pizzas[[#This Row],[Lucro Líquido (R$)]]/tbl_Pizzas[[#This Row],[Preço Venda]])</f>
        <v>0.76019188551914785</v>
      </c>
      <c r="J18" s="146" t="str">
        <f>INDEX(tbl_Pizzas[Nome],MATCH(LARGE(tbl_Pizzas[Lucro %],3),tbl_Pizzas[Lucro %],0))</f>
        <v>Brigadeiro com Banana</v>
      </c>
      <c r="K18" s="147"/>
      <c r="L18" s="148">
        <f>LARGE(tbl_Pizzas[Lucro %],3)</f>
        <v>0.83084149914132732</v>
      </c>
      <c r="M18" s="149"/>
    </row>
    <row r="19" spans="1:13" ht="16.5" x14ac:dyDescent="0.25">
      <c r="A19" s="35">
        <v>15</v>
      </c>
      <c r="B19" s="36" t="s">
        <v>80</v>
      </c>
      <c r="C19" s="36" t="s">
        <v>51</v>
      </c>
      <c r="D19" s="36" t="s">
        <v>105</v>
      </c>
      <c r="E19" s="102">
        <v>0.72</v>
      </c>
      <c r="F19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75.989999999999995</v>
      </c>
      <c r="G19" s="36">
        <f>tbl_Pizzas[[#This Row],[Preço Venda]]-VLOOKUP(tbl_Pizzas[[#This Row],[ID]],tbl_FichaTecnica[[ID]:[Custo Total da Pizza]],8,FALSE)</f>
        <v>54.966999999999999</v>
      </c>
      <c r="H19" s="107">
        <f>IF(tbl_Pizzas[[#This Row],[Preço Venda]]=0,0,tbl_Pizzas[[#This Row],[Lucro Líquido (R$)]]/tbl_Pizzas[[#This Row],[Preço Venda]])</f>
        <v>0.72334517699697332</v>
      </c>
      <c r="J19" s="146" t="str">
        <f>INDEX(tbl_Pizzas[Nome],MATCH(LARGE(tbl_Pizzas[Lucro %],4),tbl_Pizzas[Lucro %],0))</f>
        <v>Brigadeiro com Morango</v>
      </c>
      <c r="K19" s="147"/>
      <c r="L19" s="148">
        <f>LARGE(tbl_Pizzas[Lucro %],4)</f>
        <v>0.82998023025933243</v>
      </c>
      <c r="M19" s="149"/>
    </row>
    <row r="20" spans="1:13" ht="16.5" x14ac:dyDescent="0.25">
      <c r="A20" s="35">
        <v>16</v>
      </c>
      <c r="B20" s="36" t="s">
        <v>81</v>
      </c>
      <c r="C20" s="36" t="s">
        <v>52</v>
      </c>
      <c r="D20" s="36" t="s">
        <v>106</v>
      </c>
      <c r="E20" s="102">
        <v>0.74</v>
      </c>
      <c r="F20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91.99</v>
      </c>
      <c r="G20" s="36">
        <f>tbl_Pizzas[[#This Row],[Preço Venda]]-VLOOKUP(tbl_Pizzas[[#This Row],[ID]],tbl_FichaTecnica[[ID]:[Custo Total da Pizza]],8,FALSE)</f>
        <v>68.144999999999996</v>
      </c>
      <c r="H20" s="107">
        <f>IF(tbl_Pizzas[[#This Row],[Preço Venda]]=0,0,tbl_Pizzas[[#This Row],[Lucro Líquido (R$)]]/tbl_Pizzas[[#This Row],[Preço Venda]])</f>
        <v>0.74078704206979018</v>
      </c>
      <c r="J20" s="160" t="str">
        <f>INDEX(tbl_Pizzas[Nome],MATCH(LARGE(tbl_Pizzas[Lucro %],5),tbl_Pizzas[Lucro %],0))</f>
        <v>Chocolate com Banana</v>
      </c>
      <c r="K20" s="161"/>
      <c r="L20" s="162">
        <f>LARGE(tbl_Pizzas[Lucro %],5)</f>
        <v>0.82130601039317586</v>
      </c>
      <c r="M20" s="163"/>
    </row>
    <row r="21" spans="1:13" ht="16.5" x14ac:dyDescent="0.25">
      <c r="A21" s="32">
        <v>17</v>
      </c>
      <c r="B21" s="33" t="s">
        <v>61</v>
      </c>
      <c r="C21" s="33" t="s">
        <v>52</v>
      </c>
      <c r="D21" s="33" t="s">
        <v>107</v>
      </c>
      <c r="E21" s="103">
        <v>0.77</v>
      </c>
      <c r="F21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95.99</v>
      </c>
      <c r="G21" s="33">
        <f>tbl_Pizzas[[#This Row],[Preço Venda]]-VLOOKUP(tbl_Pizzas[[#This Row],[ID]],tbl_FichaTecnica[[ID]:[Custo Total da Pizza]],8,FALSE)</f>
        <v>73.943899999999985</v>
      </c>
      <c r="H21" s="108">
        <f>IF(tbl_Pizzas[[#This Row],[Preço Venda]]=0,0,tbl_Pizzas[[#This Row],[Lucro Líquido (R$)]]/tbl_Pizzas[[#This Row],[Preço Venda]])</f>
        <v>0.77032920095843305</v>
      </c>
    </row>
    <row r="22" spans="1:13" ht="16.5" x14ac:dyDescent="0.25">
      <c r="A22" s="35">
        <v>18</v>
      </c>
      <c r="B22" s="36" t="s">
        <v>62</v>
      </c>
      <c r="C22" s="36" t="s">
        <v>52</v>
      </c>
      <c r="D22" s="36" t="s">
        <v>108</v>
      </c>
      <c r="E22" s="102">
        <v>0.79</v>
      </c>
      <c r="F22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129.99</v>
      </c>
      <c r="G22" s="36">
        <f>tbl_Pizzas[[#This Row],[Preço Venda]]-VLOOKUP(tbl_Pizzas[[#This Row],[ID]],tbl_FichaTecnica[[ID]:[Custo Total da Pizza]],8,FALSE)</f>
        <v>102.89412000000002</v>
      </c>
      <c r="H22" s="107">
        <f>IF(tbl_Pizzas[[#This Row],[Preço Venda]]=0,0,tbl_Pizzas[[#This Row],[Lucro Líquido (R$)]]/tbl_Pizzas[[#This Row],[Preço Venda]])</f>
        <v>0.79155411954765753</v>
      </c>
    </row>
    <row r="23" spans="1:13" ht="16.5" x14ac:dyDescent="0.25">
      <c r="A23" s="32">
        <v>19</v>
      </c>
      <c r="B23" s="33" t="s">
        <v>89</v>
      </c>
      <c r="C23" s="33" t="s">
        <v>52</v>
      </c>
      <c r="D23" s="33" t="s">
        <v>17</v>
      </c>
      <c r="E23" s="103">
        <v>0.78</v>
      </c>
      <c r="F23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130.99</v>
      </c>
      <c r="G23" s="33">
        <f>tbl_Pizzas[[#This Row],[Preço Venda]]-VLOOKUP(tbl_Pizzas[[#This Row],[ID]],tbl_FichaTecnica[[ID]:[Custo Total da Pizza]],8,FALSE)</f>
        <v>102.29000000000002</v>
      </c>
      <c r="H23" s="108">
        <f>IF(tbl_Pizzas[[#This Row],[Preço Venda]]=0,0,tbl_Pizzas[[#This Row],[Lucro Líquido (R$)]]/tbl_Pizzas[[#This Row],[Preço Venda]])</f>
        <v>0.78089930529048024</v>
      </c>
      <c r="J23" s="260" t="s">
        <v>303</v>
      </c>
      <c r="K23" s="261"/>
      <c r="L23" s="265"/>
      <c r="M23" s="262"/>
    </row>
    <row r="24" spans="1:13" ht="16.5" x14ac:dyDescent="0.25">
      <c r="A24" s="35">
        <v>20</v>
      </c>
      <c r="B24" s="36" t="s">
        <v>90</v>
      </c>
      <c r="C24" s="36" t="s">
        <v>51</v>
      </c>
      <c r="D24" s="36" t="s">
        <v>109</v>
      </c>
      <c r="E24" s="102">
        <v>0.8</v>
      </c>
      <c r="F24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78.989999999999995</v>
      </c>
      <c r="G24" s="36">
        <f>tbl_Pizzas[[#This Row],[Preço Venda]]-VLOOKUP(tbl_Pizzas[[#This Row],[ID]],tbl_FichaTecnica[[ID]:[Custo Total da Pizza]],8,FALSE)</f>
        <v>63.224999999999994</v>
      </c>
      <c r="H24" s="107">
        <f>IF(tbl_Pizzas[[#This Row],[Preço Venda]]=0,0,tbl_Pizzas[[#This Row],[Lucro Líquido (R$)]]/tbl_Pizzas[[#This Row],[Preço Venda]])</f>
        <v>0.80041777440182305</v>
      </c>
      <c r="J24" s="150" t="s">
        <v>304</v>
      </c>
      <c r="K24" s="151"/>
      <c r="L24" s="164">
        <f>MIN(tbl_Pizzas[Preço Venda])</f>
        <v>55.99</v>
      </c>
      <c r="M24" s="152"/>
    </row>
    <row r="25" spans="1:13" ht="16.5" x14ac:dyDescent="0.25">
      <c r="A25" s="35">
        <v>21</v>
      </c>
      <c r="B25" s="36" t="s">
        <v>114</v>
      </c>
      <c r="C25" s="36" t="s">
        <v>51</v>
      </c>
      <c r="D25" s="36" t="s">
        <v>115</v>
      </c>
      <c r="E25" s="102">
        <v>0.76</v>
      </c>
      <c r="F25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87.99</v>
      </c>
      <c r="G25" s="36">
        <f>tbl_Pizzas[[#This Row],[Preço Venda]]-VLOOKUP(tbl_Pizzas[[#This Row],[ID]],tbl_FichaTecnica[[ID]:[Custo Total da Pizza]],8,FALSE)</f>
        <v>66.978899999999996</v>
      </c>
      <c r="H25" s="107">
        <f>IF(tbl_Pizzas[[#This Row],[Preço Venda]]=0,0,tbl_Pizzas[[#This Row],[Lucro Líquido (R$)]]/tbl_Pizzas[[#This Row],[Preço Venda]])</f>
        <v>0.76121036481418347</v>
      </c>
      <c r="J25" s="153" t="s">
        <v>305</v>
      </c>
      <c r="K25" s="154"/>
      <c r="L25" s="165">
        <f>MAX(tbl_Pizzas[Preço Venda])</f>
        <v>158.99</v>
      </c>
      <c r="M25" s="155"/>
    </row>
    <row r="26" spans="1:13" ht="16.5" x14ac:dyDescent="0.25">
      <c r="A26" s="32">
        <v>22</v>
      </c>
      <c r="B26" s="33" t="s">
        <v>116</v>
      </c>
      <c r="C26" s="33" t="s">
        <v>52</v>
      </c>
      <c r="D26" s="33" t="s">
        <v>117</v>
      </c>
      <c r="E26" s="103">
        <v>0.78</v>
      </c>
      <c r="F26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144.99</v>
      </c>
      <c r="G26" s="33">
        <f>tbl_Pizzas[[#This Row],[Preço Venda]]-VLOOKUP(tbl_Pizzas[[#This Row],[ID]],tbl_FichaTecnica[[ID]:[Custo Total da Pizza]],8,FALSE)</f>
        <v>113.23600000000002</v>
      </c>
      <c r="H26" s="108">
        <f>IF(tbl_Pizzas[[#This Row],[Preço Venda]]=0,0,tbl_Pizzas[[#This Row],[Lucro Líquido (R$)]]/tbl_Pizzas[[#This Row],[Preço Venda]])</f>
        <v>0.78099179253741646</v>
      </c>
    </row>
    <row r="27" spans="1:13" ht="16.5" x14ac:dyDescent="0.25">
      <c r="A27" s="35">
        <v>23</v>
      </c>
      <c r="B27" s="36" t="s">
        <v>118</v>
      </c>
      <c r="C27" s="36" t="s">
        <v>52</v>
      </c>
      <c r="D27" s="36" t="s">
        <v>119</v>
      </c>
      <c r="E27" s="102">
        <v>0.74</v>
      </c>
      <c r="F27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89.99</v>
      </c>
      <c r="G27" s="36">
        <f>tbl_Pizzas[[#This Row],[Preço Venda]]-VLOOKUP(tbl_Pizzas[[#This Row],[ID]],tbl_FichaTecnica[[ID]:[Custo Total da Pizza]],8,FALSE)</f>
        <v>66.734999999999999</v>
      </c>
      <c r="H27" s="107">
        <f>IF(tbl_Pizzas[[#This Row],[Preço Venda]]=0,0,tbl_Pizzas[[#This Row],[Lucro Líquido (R$)]]/tbl_Pizzas[[#This Row],[Preço Venda]])</f>
        <v>0.74158239804422721</v>
      </c>
    </row>
    <row r="28" spans="1:13" ht="16.5" x14ac:dyDescent="0.25">
      <c r="A28" s="32">
        <v>24</v>
      </c>
      <c r="B28" s="33" t="s">
        <v>120</v>
      </c>
      <c r="C28" s="33" t="s">
        <v>51</v>
      </c>
      <c r="D28" s="33" t="s">
        <v>121</v>
      </c>
      <c r="E28" s="103">
        <v>0.75</v>
      </c>
      <c r="F28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129.99</v>
      </c>
      <c r="G28" s="33">
        <f>tbl_Pizzas[[#This Row],[Preço Venda]]-VLOOKUP(tbl_Pizzas[[#This Row],[ID]],tbl_FichaTecnica[[ID]:[Custo Total da Pizza]],8,FALSE)</f>
        <v>97.705000000000013</v>
      </c>
      <c r="H28" s="108">
        <f>IF(tbl_Pizzas[[#This Row],[Preço Venda]]=0,0,tbl_Pizzas[[#This Row],[Lucro Líquido (R$)]]/tbl_Pizzas[[#This Row],[Preço Venda]])</f>
        <v>0.75163474113393347</v>
      </c>
    </row>
    <row r="29" spans="1:13" ht="16.5" x14ac:dyDescent="0.25">
      <c r="A29" s="35">
        <v>25</v>
      </c>
      <c r="B29" s="36" t="s">
        <v>122</v>
      </c>
      <c r="C29" s="36" t="s">
        <v>52</v>
      </c>
      <c r="D29" s="36" t="s">
        <v>123</v>
      </c>
      <c r="E29" s="102">
        <v>0.77</v>
      </c>
      <c r="F29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103.99</v>
      </c>
      <c r="G29" s="36">
        <f>tbl_Pizzas[[#This Row],[Preço Venda]]-VLOOKUP(tbl_Pizzas[[#This Row],[ID]],tbl_FichaTecnica[[ID]:[Custo Total da Pizza]],8,FALSE)</f>
        <v>80.072999999999993</v>
      </c>
      <c r="H29" s="107">
        <f>IF(tbl_Pizzas[[#This Row],[Preço Venda]]=0,0,tbl_Pizzas[[#This Row],[Lucro Líquido (R$)]]/tbl_Pizzas[[#This Row],[Preço Venda]])</f>
        <v>0.77000673141648235</v>
      </c>
      <c r="J29" s="5"/>
    </row>
    <row r="30" spans="1:13" ht="16.5" x14ac:dyDescent="0.25">
      <c r="A30" s="35">
        <v>26</v>
      </c>
      <c r="B30" s="36" t="s">
        <v>124</v>
      </c>
      <c r="C30" s="36" t="s">
        <v>51</v>
      </c>
      <c r="D30" s="36" t="s">
        <v>125</v>
      </c>
      <c r="E30" s="102">
        <v>0.8</v>
      </c>
      <c r="F30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143.99</v>
      </c>
      <c r="G30" s="36">
        <f>tbl_Pizzas[[#This Row],[Preço Venda]]-VLOOKUP(tbl_Pizzas[[#This Row],[ID]],tbl_FichaTecnica[[ID]:[Custo Total da Pizza]],8,FALSE)</f>
        <v>115.29000000000002</v>
      </c>
      <c r="H30" s="107">
        <f>IF(tbl_Pizzas[[#This Row],[Preço Venda]]=0,0,tbl_Pizzas[[#This Row],[Lucro Líquido (R$)]]/tbl_Pizzas[[#This Row],[Preço Venda]])</f>
        <v>0.80068060281964037</v>
      </c>
    </row>
    <row r="31" spans="1:13" ht="16.5" x14ac:dyDescent="0.25">
      <c r="A31" s="32">
        <v>27</v>
      </c>
      <c r="B31" s="33" t="s">
        <v>126</v>
      </c>
      <c r="C31" s="33" t="s">
        <v>52</v>
      </c>
      <c r="D31" s="33" t="s">
        <v>127</v>
      </c>
      <c r="E31" s="103">
        <v>0.82</v>
      </c>
      <c r="F31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99.99</v>
      </c>
      <c r="G31" s="33">
        <f>tbl_Pizzas[[#This Row],[Preço Venda]]-VLOOKUP(tbl_Pizzas[[#This Row],[ID]],tbl_FichaTecnica[[ID]:[Custo Total da Pizza]],8,FALSE)</f>
        <v>82.019300000000001</v>
      </c>
      <c r="H31" s="108">
        <f>IF(tbl_Pizzas[[#This Row],[Preço Venda]]=0,0,tbl_Pizzas[[#This Row],[Lucro Líquido (R$)]]/tbl_Pizzas[[#This Row],[Preço Venda]])</f>
        <v>0.82027502750275028</v>
      </c>
    </row>
    <row r="32" spans="1:13" ht="16.5" x14ac:dyDescent="0.25">
      <c r="A32" s="35">
        <v>28</v>
      </c>
      <c r="B32" s="36" t="s">
        <v>128</v>
      </c>
      <c r="C32" s="36" t="s">
        <v>51</v>
      </c>
      <c r="D32" s="36" t="s">
        <v>129</v>
      </c>
      <c r="E32" s="102">
        <v>0.85</v>
      </c>
      <c r="F32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125.99</v>
      </c>
      <c r="G32" s="36">
        <f>tbl_Pizzas[[#This Row],[Preço Venda]]-VLOOKUP(tbl_Pizzas[[#This Row],[ID]],tbl_FichaTecnica[[ID]:[Custo Total da Pizza]],8,FALSE)</f>
        <v>107.16999999999999</v>
      </c>
      <c r="H32" s="107">
        <f>IF(tbl_Pizzas[[#This Row],[Preço Venda]]=0,0,tbl_Pizzas[[#This Row],[Lucro Líquido (R$)]]/tbl_Pizzas[[#This Row],[Preço Venda]])</f>
        <v>0.85062306532264464</v>
      </c>
    </row>
    <row r="33" spans="1:8" ht="16.5" x14ac:dyDescent="0.25">
      <c r="A33" s="32">
        <v>29</v>
      </c>
      <c r="B33" s="33" t="s">
        <v>130</v>
      </c>
      <c r="C33" s="33" t="s">
        <v>52</v>
      </c>
      <c r="D33" s="33" t="s">
        <v>131</v>
      </c>
      <c r="E33" s="103">
        <v>0.76</v>
      </c>
      <c r="F33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113.99</v>
      </c>
      <c r="G33" s="33">
        <f>tbl_Pizzas[[#This Row],[Preço Venda]]-VLOOKUP(tbl_Pizzas[[#This Row],[ID]],tbl_FichaTecnica[[ID]:[Custo Total da Pizza]],8,FALSE)</f>
        <v>86.864999999999995</v>
      </c>
      <c r="H33" s="108">
        <f>IF(tbl_Pizzas[[#This Row],[Preço Venda]]=0,0,tbl_Pizzas[[#This Row],[Lucro Líquido (R$)]]/tbl_Pizzas[[#This Row],[Preço Venda]])</f>
        <v>0.76204052987104132</v>
      </c>
    </row>
    <row r="34" spans="1:8" ht="16.5" x14ac:dyDescent="0.25">
      <c r="A34" s="35">
        <v>30</v>
      </c>
      <c r="B34" s="36" t="s">
        <v>132</v>
      </c>
      <c r="C34" s="36" t="s">
        <v>51</v>
      </c>
      <c r="D34" s="36" t="s">
        <v>105</v>
      </c>
      <c r="E34" s="102">
        <v>0.73</v>
      </c>
      <c r="F34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77.989999999999995</v>
      </c>
      <c r="G34" s="36">
        <f>tbl_Pizzas[[#This Row],[Preço Venda]]-VLOOKUP(tbl_Pizzas[[#This Row],[ID]],tbl_FichaTecnica[[ID]:[Custo Total da Pizza]],8,FALSE)</f>
        <v>56.966999999999999</v>
      </c>
      <c r="H34" s="107">
        <f>IF(tbl_Pizzas[[#This Row],[Preço Venda]]=0,0,tbl_Pizzas[[#This Row],[Lucro Líquido (R$)]]/tbl_Pizzas[[#This Row],[Preço Venda]])</f>
        <v>0.73043979997435571</v>
      </c>
    </row>
    <row r="35" spans="1:8" ht="16.5" x14ac:dyDescent="0.25">
      <c r="A35" s="35">
        <v>31</v>
      </c>
      <c r="B35" s="36" t="s">
        <v>133</v>
      </c>
      <c r="C35" s="36" t="s">
        <v>52</v>
      </c>
      <c r="D35" s="36" t="s">
        <v>134</v>
      </c>
      <c r="E35" s="102">
        <v>0.79</v>
      </c>
      <c r="F35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158.99</v>
      </c>
      <c r="G35" s="36">
        <f>tbl_Pizzas[[#This Row],[Preço Venda]]-VLOOKUP(tbl_Pizzas[[#This Row],[ID]],tbl_FichaTecnica[[ID]:[Custo Total da Pizza]],8,FALSE)</f>
        <v>125.649</v>
      </c>
      <c r="H35" s="107">
        <f>IF(tbl_Pizzas[[#This Row],[Preço Venda]]=0,0,tbl_Pizzas[[#This Row],[Lucro Líquido (R$)]]/tbl_Pizzas[[#This Row],[Preço Venda]])</f>
        <v>0.79029498710610724</v>
      </c>
    </row>
    <row r="36" spans="1:8" ht="16.5" x14ac:dyDescent="0.25">
      <c r="A36" s="32">
        <v>32</v>
      </c>
      <c r="B36" s="33" t="s">
        <v>135</v>
      </c>
      <c r="C36" s="33" t="s">
        <v>52</v>
      </c>
      <c r="D36" s="33" t="s">
        <v>136</v>
      </c>
      <c r="E36" s="103">
        <v>0.78</v>
      </c>
      <c r="F36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134.99</v>
      </c>
      <c r="G36" s="33">
        <f>tbl_Pizzas[[#This Row],[Preço Venda]]-VLOOKUP(tbl_Pizzas[[#This Row],[ID]],tbl_FichaTecnica[[ID]:[Custo Total da Pizza]],8,FALSE)</f>
        <v>105.41000000000001</v>
      </c>
      <c r="H36" s="108">
        <f>IF(tbl_Pizzas[[#This Row],[Preço Venda]]=0,0,tbl_Pizzas[[#This Row],[Lucro Líquido (R$)]]/tbl_Pizzas[[#This Row],[Preço Venda]])</f>
        <v>0.78087265723386923</v>
      </c>
    </row>
    <row r="37" spans="1:8" ht="16.5" x14ac:dyDescent="0.25">
      <c r="A37" s="35">
        <v>33</v>
      </c>
      <c r="B37" s="36" t="s">
        <v>137</v>
      </c>
      <c r="C37" s="36" t="s">
        <v>52</v>
      </c>
      <c r="D37" s="36" t="s">
        <v>138</v>
      </c>
      <c r="E37" s="102">
        <v>0.84</v>
      </c>
      <c r="F37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133.99</v>
      </c>
      <c r="G37" s="36">
        <f>tbl_Pizzas[[#This Row],[Preço Venda]]-VLOOKUP(tbl_Pizzas[[#This Row],[ID]],tbl_FichaTecnica[[ID]:[Custo Total da Pizza]],8,FALSE)</f>
        <v>112.60000000000001</v>
      </c>
      <c r="H37" s="107">
        <f>IF(tbl_Pizzas[[#This Row],[Preço Venda]]=0,0,tbl_Pizzas[[#This Row],[Lucro Líquido (R$)]]/tbl_Pizzas[[#This Row],[Preço Venda]])</f>
        <v>0.84036122098664079</v>
      </c>
    </row>
    <row r="38" spans="1:8" ht="16.5" x14ac:dyDescent="0.25">
      <c r="A38" s="32">
        <v>34</v>
      </c>
      <c r="B38" s="33" t="s">
        <v>139</v>
      </c>
      <c r="C38" s="33" t="s">
        <v>52</v>
      </c>
      <c r="D38" s="33" t="s">
        <v>140</v>
      </c>
      <c r="E38" s="103">
        <v>0.81</v>
      </c>
      <c r="F38" s="33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149.99</v>
      </c>
      <c r="G38" s="33">
        <f>tbl_Pizzas[[#This Row],[Preço Venda]]-VLOOKUP(tbl_Pizzas[[#This Row],[ID]],tbl_FichaTecnica[[ID]:[Custo Total da Pizza]],8,FALSE)</f>
        <v>121.64412000000002</v>
      </c>
      <c r="H38" s="108">
        <f>IF(tbl_Pizzas[[#This Row],[Preço Venda]]=0,0,tbl_Pizzas[[#This Row],[Lucro Líquido (R$)]]/tbl_Pizzas[[#This Row],[Preço Venda]])</f>
        <v>0.81101486765784392</v>
      </c>
    </row>
    <row r="39" spans="1:8" ht="16.5" x14ac:dyDescent="0.25">
      <c r="A39" s="35">
        <v>35</v>
      </c>
      <c r="B39" s="36" t="s">
        <v>141</v>
      </c>
      <c r="C39" s="36" t="s">
        <v>51</v>
      </c>
      <c r="D39" s="36" t="s">
        <v>142</v>
      </c>
      <c r="E39" s="102">
        <v>0.83</v>
      </c>
      <c r="F39" s="36">
        <f>IF(VLOOKUP(tbl_Pizzas[[#This Row],[ID]],tbl_FichaTecnica[[ID]:[Custo Total da Pizza]],8,FALSE)=0,0,ROUNDUP(VLOOKUP(tbl_Pizzas[[#This Row],[ID]],tbl_FichaTecnica[[ID]:[Custo Total da Pizza]],8,FALSE)/(1-tbl_Pizzas[[#This Row],[Margem Lucro %]]),0)-0.01)</f>
        <v>98.99</v>
      </c>
      <c r="G39" s="36">
        <f>tbl_Pizzas[[#This Row],[Preço Venda]]-VLOOKUP(tbl_Pizzas[[#This Row],[ID]],tbl_FichaTecnica[[ID]:[Custo Total da Pizza]],8,FALSE)</f>
        <v>82.24499999999999</v>
      </c>
      <c r="H39" s="107">
        <f>IF(tbl_Pizzas[[#This Row],[Preço Venda]]=0,0,tbl_Pizzas[[#This Row],[Lucro Líquido (R$)]]/tbl_Pizzas[[#This Row],[Preço Venda]])</f>
        <v>0.83084149914132732</v>
      </c>
    </row>
  </sheetData>
  <mergeCells count="5">
    <mergeCell ref="A1:H1"/>
    <mergeCell ref="J4:M4"/>
    <mergeCell ref="J10:M10"/>
    <mergeCell ref="J14:M14"/>
    <mergeCell ref="J23:M23"/>
  </mergeCells>
  <dataValidations disablePrompts="1" count="1">
    <dataValidation type="list" allowBlank="1" showInputMessage="1" showErrorMessage="1" sqref="C25:C31" xr:uid="{699C70EA-B5B9-49A8-91DF-310620B468ED}">
      <formula1>"Grande,Média,Pequena"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6C06-23A6-461D-B2F0-1C312EF8EE59}">
  <sheetPr codeName="Sheet3"/>
  <dimension ref="A1:M212"/>
  <sheetViews>
    <sheetView showGridLines="0" tabSelected="1" zoomScale="115" zoomScaleNormal="115" workbookViewId="0">
      <selection activeCell="A11" sqref="A11"/>
    </sheetView>
  </sheetViews>
  <sheetFormatPr defaultColWidth="12.5703125" defaultRowHeight="15" x14ac:dyDescent="0.25"/>
  <cols>
    <col min="1" max="1" width="10.5703125" style="1" bestFit="1" customWidth="1"/>
    <col min="2" max="2" width="29.7109375" style="1" bestFit="1" customWidth="1"/>
    <col min="3" max="3" width="22" style="1" bestFit="1" customWidth="1"/>
    <col min="4" max="4" width="16.140625" style="1" customWidth="1"/>
    <col min="5" max="5" width="17.7109375" style="1" bestFit="1" customWidth="1"/>
    <col min="6" max="6" width="24.28515625" style="4" bestFit="1" customWidth="1"/>
    <col min="7" max="7" width="23.5703125" style="4" bestFit="1" customWidth="1"/>
    <col min="8" max="8" width="31.7109375" style="4" customWidth="1"/>
    <col min="9" max="9" width="2.85546875" style="1" customWidth="1"/>
    <col min="10" max="10" width="27.7109375" style="1" bestFit="1" customWidth="1"/>
    <col min="11" max="11" width="3.85546875" style="1" customWidth="1"/>
    <col min="12" max="12" width="15.85546875" style="1" bestFit="1" customWidth="1"/>
    <col min="13" max="13" width="3.85546875" style="1" customWidth="1"/>
    <col min="14" max="16384" width="12.5703125" style="1"/>
  </cols>
  <sheetData>
    <row r="1" spans="1:13" ht="39.950000000000003" customHeight="1" x14ac:dyDescent="0.25">
      <c r="A1" s="269" t="s">
        <v>306</v>
      </c>
      <c r="B1" s="250"/>
      <c r="C1" s="250"/>
      <c r="D1" s="270"/>
      <c r="E1" s="250"/>
      <c r="F1" s="250"/>
      <c r="G1" s="250"/>
      <c r="H1" s="250"/>
    </row>
    <row r="2" spans="1:13" x14ac:dyDescent="0.25">
      <c r="A2" s="109"/>
      <c r="C2" s="241">
        <f ca="1">NOW()</f>
        <v>46127.428972106478</v>
      </c>
      <c r="D2" s="241"/>
      <c r="E2" s="241"/>
      <c r="F2" s="241"/>
    </row>
    <row r="3" spans="1:13" ht="8.1" customHeight="1" x14ac:dyDescent="0.25">
      <c r="A3" s="75"/>
      <c r="B3" s="75"/>
      <c r="C3" s="241"/>
      <c r="D3" s="241"/>
      <c r="E3" s="241"/>
      <c r="F3" s="241"/>
      <c r="G3" s="77"/>
      <c r="H3" s="77"/>
    </row>
    <row r="4" spans="1:13" ht="24.95" customHeight="1" x14ac:dyDescent="0.25">
      <c r="A4" s="110" t="s">
        <v>0</v>
      </c>
      <c r="B4" s="80" t="s">
        <v>57</v>
      </c>
      <c r="C4" s="80" t="s">
        <v>1</v>
      </c>
      <c r="D4" s="110" t="s">
        <v>110</v>
      </c>
      <c r="E4" s="80" t="s">
        <v>7</v>
      </c>
      <c r="F4" s="118" t="s">
        <v>3</v>
      </c>
      <c r="G4" s="118" t="s">
        <v>112</v>
      </c>
      <c r="H4" s="118" t="s">
        <v>113</v>
      </c>
      <c r="J4" s="271" t="s">
        <v>307</v>
      </c>
      <c r="K4" s="272"/>
      <c r="L4" s="272"/>
      <c r="M4" s="273"/>
    </row>
    <row r="5" spans="1:13" ht="16.5" x14ac:dyDescent="0.25">
      <c r="A5" s="42">
        <v>1</v>
      </c>
      <c r="B5" s="33" t="str">
        <f>IF(A5="", "", VLOOKUP(A5, tbl_Pizzas[[ID]:[Nome]], 2, FALSE))</f>
        <v>Mussarela Clássica</v>
      </c>
      <c r="C5" s="33" t="s">
        <v>9</v>
      </c>
      <c r="D5" s="112">
        <v>0.19</v>
      </c>
      <c r="E5" s="33" t="s">
        <v>14</v>
      </c>
      <c r="F5" s="33">
        <v>6.8</v>
      </c>
      <c r="G5" s="33">
        <f>IF(D5="", "", D5 * F5)</f>
        <v>1.292</v>
      </c>
      <c r="H5" s="33">
        <f>IF(tbl_FichaTecnica[[#This Row],[ID]]="", "", SUMIF(tbl_FichaTecnica[ID], tbl_FichaTecnica[[#This Row],[ID]], tbl_FichaTecnica[Custo Parcial]))</f>
        <v>15.993099999999997</v>
      </c>
      <c r="J5" s="119" t="s">
        <v>308</v>
      </c>
      <c r="K5"/>
      <c r="L5" s="120">
        <f>COUNTA(_xlfn.UNIQUE(tbl_FichaTecnica[Nome Pizza]))</f>
        <v>36</v>
      </c>
      <c r="M5" s="121"/>
    </row>
    <row r="6" spans="1:13" ht="16.5" x14ac:dyDescent="0.25">
      <c r="A6" s="43">
        <v>1</v>
      </c>
      <c r="B6" s="33" t="str">
        <f>IF(A6="", "", VLOOKUP(A6, tbl_Pizzas[[ID]:[Nome]], 2, FALSE))</f>
        <v>Mussarela Clássica</v>
      </c>
      <c r="C6" s="36" t="s">
        <v>15</v>
      </c>
      <c r="D6" s="111">
        <v>0.15</v>
      </c>
      <c r="E6" s="36" t="s">
        <v>12</v>
      </c>
      <c r="F6" s="36">
        <v>13.9</v>
      </c>
      <c r="G6" s="36">
        <f t="shared" ref="G6:G69" si="0">IF(D6="", "", D6 * F6)</f>
        <v>2.085</v>
      </c>
      <c r="H6" s="33">
        <f>IF(tbl_FichaTecnica[[#This Row],[ID]]="", "", SUMIF(tbl_FichaTecnica[ID], tbl_FichaTecnica[[#This Row],[ID]], tbl_FichaTecnica[Custo Parcial]))</f>
        <v>15.993099999999997</v>
      </c>
      <c r="J6" s="119" t="s">
        <v>309</v>
      </c>
      <c r="K6"/>
      <c r="L6" s="120">
        <f>COUNTA(tbl_FichaTecnica[Ingrediente])</f>
        <v>180</v>
      </c>
      <c r="M6" s="121"/>
    </row>
    <row r="7" spans="1:13" ht="16.5" x14ac:dyDescent="0.25">
      <c r="A7" s="42">
        <v>1</v>
      </c>
      <c r="B7" s="33" t="str">
        <f>IF(A7="", "", VLOOKUP(A7, tbl_Pizzas[[ID]:[Nome]], 2, FALSE))</f>
        <v>Mussarela Clássica</v>
      </c>
      <c r="C7" s="33" t="s">
        <v>17</v>
      </c>
      <c r="D7" s="112">
        <v>0.28999999999999998</v>
      </c>
      <c r="E7" s="33" t="s">
        <v>10</v>
      </c>
      <c r="F7" s="33">
        <v>43.5</v>
      </c>
      <c r="G7" s="33">
        <f t="shared" si="0"/>
        <v>12.614999999999998</v>
      </c>
      <c r="H7" s="33">
        <f>IF(tbl_FichaTecnica[[#This Row],[ID]]="", "", SUMIF(tbl_FichaTecnica[ID], tbl_FichaTecnica[[#This Row],[ID]], tbl_FichaTecnica[Custo Parcial]))</f>
        <v>15.993099999999997</v>
      </c>
      <c r="J7" s="122" t="s">
        <v>310</v>
      </c>
      <c r="K7" s="123"/>
      <c r="L7" s="124">
        <f>AVERAGE(tbl_FichaTecnica[Custo Total da Pizza])</f>
        <v>24.169046444444412</v>
      </c>
      <c r="M7" s="125"/>
    </row>
    <row r="8" spans="1:13" ht="16.5" x14ac:dyDescent="0.25">
      <c r="A8" s="43">
        <v>1</v>
      </c>
      <c r="B8" s="33" t="str">
        <f>IF(A8="", "", VLOOKUP(A8, tbl_Pizzas[[ID]:[Nome]], 2, FALSE))</f>
        <v>Mussarela Clássica</v>
      </c>
      <c r="C8" s="36" t="s">
        <v>26</v>
      </c>
      <c r="D8" s="111">
        <v>5.0000000000000001E-3</v>
      </c>
      <c r="E8" s="36" t="s">
        <v>8</v>
      </c>
      <c r="F8" s="36">
        <v>0.22</v>
      </c>
      <c r="G8" s="36">
        <f t="shared" si="0"/>
        <v>1.1000000000000001E-3</v>
      </c>
      <c r="H8" s="33">
        <f>IF(tbl_FichaTecnica[[#This Row],[ID]]="", "", SUMIF(tbl_FichaTecnica[ID], tbl_FichaTecnica[[#This Row],[ID]], tbl_FichaTecnica[Custo Parcial]))</f>
        <v>15.993099999999997</v>
      </c>
      <c r="J8"/>
      <c r="K8"/>
      <c r="L8"/>
      <c r="M8"/>
    </row>
    <row r="9" spans="1:13" ht="16.5" x14ac:dyDescent="0.25">
      <c r="A9" s="42">
        <v>2</v>
      </c>
      <c r="B9" s="33" t="str">
        <f>IF(A9="", "", VLOOKUP(A9, tbl_Pizzas[[ID]:[Nome]], 2, FALSE))</f>
        <v>Pepperoni</v>
      </c>
      <c r="C9" s="33" t="s">
        <v>9</v>
      </c>
      <c r="D9" s="112">
        <v>1</v>
      </c>
      <c r="E9" s="33" t="s">
        <v>14</v>
      </c>
      <c r="F9" s="33">
        <v>6.8</v>
      </c>
      <c r="G9" s="33">
        <f t="shared" si="0"/>
        <v>6.8</v>
      </c>
      <c r="H9" s="33">
        <f>IF(tbl_FichaTecnica[[#This Row],[ID]]="", "", SUMIF(tbl_FichaTecnica[ID], tbl_FichaTecnica[[#This Row],[ID]], tbl_FichaTecnica[Custo Parcial]))</f>
        <v>24.855879999999996</v>
      </c>
      <c r="J9" s="274" t="s">
        <v>311</v>
      </c>
      <c r="K9" s="267"/>
      <c r="L9" s="267"/>
      <c r="M9" s="268"/>
    </row>
    <row r="10" spans="1:13" ht="16.5" x14ac:dyDescent="0.25">
      <c r="A10" s="42">
        <v>2</v>
      </c>
      <c r="B10" s="33" t="str">
        <f>IF(A10="", "", VLOOKUP(A10, tbl_Pizzas[[ID]:[Nome]], 2, FALSE))</f>
        <v>Pepperoni</v>
      </c>
      <c r="C10" s="33" t="s">
        <v>15</v>
      </c>
      <c r="D10" s="112">
        <v>0.15</v>
      </c>
      <c r="E10" s="33" t="s">
        <v>12</v>
      </c>
      <c r="F10" s="33">
        <v>13.9</v>
      </c>
      <c r="G10" s="33">
        <f t="shared" si="0"/>
        <v>2.085</v>
      </c>
      <c r="H10" s="33">
        <f>IF(tbl_FichaTecnica[[#This Row],[ID]]="", "", SUMIF(tbl_FichaTecnica[ID], tbl_FichaTecnica[[#This Row],[ID]], tbl_FichaTecnica[Custo Parcial]))</f>
        <v>24.855879999999996</v>
      </c>
      <c r="J10" s="119" t="s">
        <v>312</v>
      </c>
      <c r="K10"/>
      <c r="L10" s="126">
        <f>MIN(tbl_FichaTecnica[Custo Total da Pizza])</f>
        <v>11.17</v>
      </c>
      <c r="M10" s="121"/>
    </row>
    <row r="11" spans="1:13" ht="16.5" x14ac:dyDescent="0.25">
      <c r="A11" s="282">
        <v>2</v>
      </c>
      <c r="B11" s="33" t="str">
        <f>IF(A11="", "", VLOOKUP(A11, tbl_Pizzas[[ID]:[Nome]], 2, FALSE))</f>
        <v>Pepperoni</v>
      </c>
      <c r="C11" s="36" t="s">
        <v>17</v>
      </c>
      <c r="D11" s="111">
        <v>0.22</v>
      </c>
      <c r="E11" s="36" t="s">
        <v>10</v>
      </c>
      <c r="F11" s="36">
        <v>43.5</v>
      </c>
      <c r="G11" s="36">
        <f t="shared" si="0"/>
        <v>9.57</v>
      </c>
      <c r="H11" s="33">
        <f>IF(tbl_FichaTecnica[[#This Row],[ID]]="", "", SUMIF(tbl_FichaTecnica[ID], tbl_FichaTecnica[[#This Row],[ID]], tbl_FichaTecnica[Custo Parcial]))</f>
        <v>24.855879999999996</v>
      </c>
      <c r="J11" s="119" t="s">
        <v>313</v>
      </c>
      <c r="K11"/>
      <c r="L11" s="126">
        <f>MAX(tbl_FichaTecnica[Custo Total da Pizza])</f>
        <v>33.341000000000001</v>
      </c>
      <c r="M11" s="121"/>
    </row>
    <row r="12" spans="1:13" ht="16.5" x14ac:dyDescent="0.25">
      <c r="A12" s="42">
        <v>2</v>
      </c>
      <c r="B12" s="33" t="str">
        <f>IF(A12="", "", VLOOKUP(A12, tbl_Pizzas[[ID]:[Nome]], 2, FALSE))</f>
        <v>Pepperoni</v>
      </c>
      <c r="C12" s="33" t="s">
        <v>18</v>
      </c>
      <c r="D12" s="112">
        <v>0.1</v>
      </c>
      <c r="E12" s="33" t="s">
        <v>10</v>
      </c>
      <c r="F12" s="33">
        <v>64</v>
      </c>
      <c r="G12" s="33">
        <f t="shared" si="0"/>
        <v>6.4</v>
      </c>
      <c r="H12" s="33">
        <f>IF(tbl_FichaTecnica[[#This Row],[ID]]="", "", SUMIF(tbl_FichaTecnica[ID], tbl_FichaTecnica[[#This Row],[ID]], tbl_FichaTecnica[Custo Parcial]))</f>
        <v>24.855879999999996</v>
      </c>
      <c r="J12" s="122" t="s">
        <v>314</v>
      </c>
      <c r="K12" s="123"/>
      <c r="L12" s="124">
        <f>SUM(tbl_FichaTecnica[Custo Total da Pizza])</f>
        <v>4350.4283599999944</v>
      </c>
      <c r="M12" s="125"/>
    </row>
    <row r="13" spans="1:13" ht="16.5" x14ac:dyDescent="0.25">
      <c r="A13" s="43">
        <v>2</v>
      </c>
      <c r="B13" s="33" t="str">
        <f>IF(A13="", "", VLOOKUP(A13, tbl_Pizzas[[ID]:[Nome]], 2, FALSE))</f>
        <v>Pepperoni</v>
      </c>
      <c r="C13" s="36" t="s">
        <v>26</v>
      </c>
      <c r="D13" s="111">
        <v>4.0000000000000001E-3</v>
      </c>
      <c r="E13" s="36" t="s">
        <v>8</v>
      </c>
      <c r="F13" s="36">
        <v>0.22</v>
      </c>
      <c r="G13" s="36">
        <f t="shared" si="0"/>
        <v>8.8000000000000003E-4</v>
      </c>
      <c r="H13" s="33">
        <f>IF(tbl_FichaTecnica[[#This Row],[ID]]="", "", SUMIF(tbl_FichaTecnica[ID], tbl_FichaTecnica[[#This Row],[ID]], tbl_FichaTecnica[Custo Parcial]))</f>
        <v>24.855879999999996</v>
      </c>
      <c r="J13"/>
      <c r="K13"/>
      <c r="L13"/>
      <c r="M13"/>
    </row>
    <row r="14" spans="1:13" ht="16.5" x14ac:dyDescent="0.25">
      <c r="A14" s="42">
        <v>3</v>
      </c>
      <c r="B14" s="33" t="str">
        <f>IF(A14="", "", VLOOKUP(A14, tbl_Pizzas[[ID]:[Nome]], 2, FALSE))</f>
        <v>Calabresa</v>
      </c>
      <c r="C14" s="33" t="s">
        <v>9</v>
      </c>
      <c r="D14" s="112">
        <v>1</v>
      </c>
      <c r="E14" s="33" t="s">
        <v>14</v>
      </c>
      <c r="F14" s="33">
        <v>6.8</v>
      </c>
      <c r="G14" s="33">
        <f t="shared" si="0"/>
        <v>6.8</v>
      </c>
      <c r="H14" s="33">
        <f>IF(tbl_FichaTecnica[[#This Row],[ID]]="", "", SUMIF(tbl_FichaTecnica[ID], tbl_FichaTecnica[[#This Row],[ID]], tbl_FichaTecnica[Custo Parcial]))</f>
        <v>25.394879999999997</v>
      </c>
      <c r="J14" s="275" t="s">
        <v>315</v>
      </c>
      <c r="K14" s="267"/>
      <c r="L14" s="267"/>
      <c r="M14" s="268"/>
    </row>
    <row r="15" spans="1:13" ht="16.5" x14ac:dyDescent="0.25">
      <c r="A15" s="42">
        <v>3</v>
      </c>
      <c r="B15" s="33" t="str">
        <f>IF(A15="", "", VLOOKUP(A15, tbl_Pizzas[[ID]:[Nome]], 2, FALSE))</f>
        <v>Calabresa</v>
      </c>
      <c r="C15" s="33" t="s">
        <v>15</v>
      </c>
      <c r="D15" s="112">
        <v>0.15</v>
      </c>
      <c r="E15" s="33" t="s">
        <v>12</v>
      </c>
      <c r="F15" s="33">
        <v>13.9</v>
      </c>
      <c r="G15" s="33">
        <f t="shared" si="0"/>
        <v>2.085</v>
      </c>
      <c r="H15" s="33">
        <f>IF(tbl_FichaTecnica[[#This Row],[ID]]="", "", SUMIF(tbl_FichaTecnica[ID], tbl_FichaTecnica[[#This Row],[ID]], tbl_FichaTecnica[Custo Parcial]))</f>
        <v>25.394879999999997</v>
      </c>
      <c r="J15" s="127" t="s">
        <v>1</v>
      </c>
      <c r="K15" s="97"/>
      <c r="L15" s="97" t="s">
        <v>323</v>
      </c>
      <c r="M15" s="128"/>
    </row>
    <row r="16" spans="1:13" ht="16.5" x14ac:dyDescent="0.25">
      <c r="A16" s="43">
        <v>3</v>
      </c>
      <c r="B16" s="33" t="str">
        <f>IF(A16="", "", VLOOKUP(A16, tbl_Pizzas[[ID]:[Nome]], 2, FALSE))</f>
        <v>Calabresa</v>
      </c>
      <c r="C16" s="36" t="s">
        <v>17</v>
      </c>
      <c r="D16" s="111">
        <v>0.23</v>
      </c>
      <c r="E16" s="36" t="s">
        <v>10</v>
      </c>
      <c r="F16" s="36">
        <v>43.5</v>
      </c>
      <c r="G16" s="36">
        <f t="shared" si="0"/>
        <v>10.005000000000001</v>
      </c>
      <c r="H16" s="33">
        <f>IF(tbl_FichaTecnica[[#This Row],[ID]]="", "", SUMIF(tbl_FichaTecnica[ID], tbl_FichaTecnica[[#This Row],[ID]], tbl_FichaTecnica[Custo Parcial]))</f>
        <v>25.394879999999997</v>
      </c>
      <c r="J16" s="119" t="s">
        <v>9</v>
      </c>
      <c r="K16"/>
      <c r="L16" s="120">
        <f>COUNTIF(tbl_FichaTecnica[Ingrediente],"Massa de Pizza")</f>
        <v>34</v>
      </c>
      <c r="M16" s="121"/>
    </row>
    <row r="17" spans="1:13" ht="16.5" x14ac:dyDescent="0.25">
      <c r="A17" s="42">
        <v>3</v>
      </c>
      <c r="B17" s="33" t="str">
        <f>IF(A17="", "", VLOOKUP(A17, tbl_Pizzas[[ID]:[Nome]], 2, FALSE))</f>
        <v>Calabresa</v>
      </c>
      <c r="C17" s="33" t="s">
        <v>22</v>
      </c>
      <c r="D17" s="112">
        <v>0.12</v>
      </c>
      <c r="E17" s="33" t="s">
        <v>10</v>
      </c>
      <c r="F17" s="33">
        <v>49</v>
      </c>
      <c r="G17" s="33">
        <f t="shared" si="0"/>
        <v>5.88</v>
      </c>
      <c r="H17" s="33">
        <f>IF(tbl_FichaTecnica[[#This Row],[ID]]="", "", SUMIF(tbl_FichaTecnica[ID], tbl_FichaTecnica[[#This Row],[ID]], tbl_FichaTecnica[Custo Parcial]))</f>
        <v>25.394879999999997</v>
      </c>
      <c r="J17" s="119" t="s">
        <v>17</v>
      </c>
      <c r="K17"/>
      <c r="L17" s="120">
        <f>COUNTIF(tbl_FichaTecnica[Ingrediente],"Queijo Mussarela")</f>
        <v>27</v>
      </c>
      <c r="M17" s="121"/>
    </row>
    <row r="18" spans="1:13" ht="16.5" x14ac:dyDescent="0.25">
      <c r="A18" s="43">
        <v>3</v>
      </c>
      <c r="B18" s="33" t="str">
        <f>IF(A18="", "", VLOOKUP(A18, tbl_Pizzas[[ID]:[Nome]], 2, FALSE))</f>
        <v>Calabresa</v>
      </c>
      <c r="C18" s="36" t="s">
        <v>23</v>
      </c>
      <c r="D18" s="111">
        <v>0.08</v>
      </c>
      <c r="E18" s="36" t="s">
        <v>10</v>
      </c>
      <c r="F18" s="36">
        <v>7.8</v>
      </c>
      <c r="G18" s="36">
        <f t="shared" si="0"/>
        <v>0.624</v>
      </c>
      <c r="H18" s="33">
        <f>IF(tbl_FichaTecnica[[#This Row],[ID]]="", "", SUMIF(tbl_FichaTecnica[ID], tbl_FichaTecnica[[#This Row],[ID]], tbl_FichaTecnica[Custo Parcial]))</f>
        <v>25.394879999999997</v>
      </c>
      <c r="J18" s="119" t="s">
        <v>15</v>
      </c>
      <c r="K18"/>
      <c r="L18" s="120">
        <f>COUNTIF(tbl_FichaTecnica[Ingrediente],"Molho de Tomate")</f>
        <v>26</v>
      </c>
      <c r="M18" s="121"/>
    </row>
    <row r="19" spans="1:13" ht="16.5" x14ac:dyDescent="0.25">
      <c r="A19" s="42">
        <v>3</v>
      </c>
      <c r="B19" s="33" t="str">
        <f>IF(A19="", "", VLOOKUP(A19, tbl_Pizzas[[ID]:[Nome]], 2, FALSE))</f>
        <v>Calabresa</v>
      </c>
      <c r="C19" s="33" t="s">
        <v>26</v>
      </c>
      <c r="D19" s="112">
        <v>4.0000000000000001E-3</v>
      </c>
      <c r="E19" s="33" t="s">
        <v>8</v>
      </c>
      <c r="F19" s="33">
        <v>0.22</v>
      </c>
      <c r="G19" s="33">
        <f t="shared" si="0"/>
        <v>8.8000000000000003E-4</v>
      </c>
      <c r="H19" s="33">
        <f>IF(tbl_FichaTecnica[[#This Row],[ID]]="", "", SUMIF(tbl_FichaTecnica[ID], tbl_FichaTecnica[[#This Row],[ID]], tbl_FichaTecnica[Custo Parcial]))</f>
        <v>25.394879999999997</v>
      </c>
      <c r="J19" s="119" t="s">
        <v>23</v>
      </c>
      <c r="K19"/>
      <c r="L19" s="120">
        <f>COUNTIF(tbl_FichaTecnica[Ingrediente],"Cebola")</f>
        <v>10</v>
      </c>
      <c r="M19" s="121"/>
    </row>
    <row r="20" spans="1:13" ht="16.5" x14ac:dyDescent="0.25">
      <c r="A20" s="42">
        <v>4</v>
      </c>
      <c r="B20" s="33" t="str">
        <f>IF(A20="", "", VLOOKUP(A20, tbl_Pizzas[[ID]:[Nome]], 2, FALSE))</f>
        <v>Portuguesa</v>
      </c>
      <c r="C20" s="33" t="s">
        <v>9</v>
      </c>
      <c r="D20" s="112">
        <v>1</v>
      </c>
      <c r="E20" s="33" t="s">
        <v>14</v>
      </c>
      <c r="F20" s="33">
        <v>6.8</v>
      </c>
      <c r="G20" s="33">
        <f t="shared" si="0"/>
        <v>6.8</v>
      </c>
      <c r="H20" s="33">
        <f>IF(tbl_FichaTecnica[[#This Row],[ID]]="", "", SUMIF(tbl_FichaTecnica[ID], tbl_FichaTecnica[[#This Row],[ID]], tbl_FichaTecnica[Custo Parcial]))</f>
        <v>24.631</v>
      </c>
      <c r="J20" s="122" t="s">
        <v>26</v>
      </c>
      <c r="K20" s="123"/>
      <c r="L20" s="129">
        <f>COUNTIF(tbl_FichaTecnica[Ingrediente],"Orégano")</f>
        <v>7</v>
      </c>
      <c r="M20" s="125"/>
    </row>
    <row r="21" spans="1:13" ht="16.5" x14ac:dyDescent="0.25">
      <c r="A21" s="43">
        <v>4</v>
      </c>
      <c r="B21" s="33" t="str">
        <f>IF(A21="", "", VLOOKUP(A21, tbl_Pizzas[[ID]:[Nome]], 2, FALSE))</f>
        <v>Portuguesa</v>
      </c>
      <c r="C21" s="36" t="s">
        <v>15</v>
      </c>
      <c r="D21" s="111">
        <v>0.15</v>
      </c>
      <c r="E21" s="36" t="s">
        <v>12</v>
      </c>
      <c r="F21" s="36">
        <v>13.9</v>
      </c>
      <c r="G21" s="36">
        <f t="shared" si="0"/>
        <v>2.085</v>
      </c>
      <c r="H21" s="33">
        <f>IF(tbl_FichaTecnica[[#This Row],[ID]]="", "", SUMIF(tbl_FichaTecnica[ID], tbl_FichaTecnica[[#This Row],[ID]], tbl_FichaTecnica[Custo Parcial]))</f>
        <v>24.631</v>
      </c>
      <c r="J21"/>
      <c r="K21"/>
      <c r="L21"/>
      <c r="M21"/>
    </row>
    <row r="22" spans="1:13" ht="16.5" x14ac:dyDescent="0.25">
      <c r="A22" s="42">
        <v>4</v>
      </c>
      <c r="B22" s="33" t="str">
        <f>IF(A22="", "", VLOOKUP(A22, tbl_Pizzas[[ID]:[Nome]], 2, FALSE))</f>
        <v>Portuguesa</v>
      </c>
      <c r="C22" s="33" t="s">
        <v>17</v>
      </c>
      <c r="D22" s="112">
        <v>0.2</v>
      </c>
      <c r="E22" s="33" t="s">
        <v>10</v>
      </c>
      <c r="F22" s="33">
        <v>43.5</v>
      </c>
      <c r="G22" s="33">
        <f t="shared" si="0"/>
        <v>8.7000000000000011</v>
      </c>
      <c r="H22" s="33">
        <f>IF(tbl_FichaTecnica[[#This Row],[ID]]="", "", SUMIF(tbl_FichaTecnica[ID], tbl_FichaTecnica[[#This Row],[ID]], tbl_FichaTecnica[Custo Parcial]))</f>
        <v>24.631</v>
      </c>
      <c r="J22" s="266" t="s">
        <v>316</v>
      </c>
      <c r="K22" s="267"/>
      <c r="L22" s="267"/>
      <c r="M22" s="268"/>
    </row>
    <row r="23" spans="1:13" ht="16.5" x14ac:dyDescent="0.25">
      <c r="A23" s="43">
        <v>4</v>
      </c>
      <c r="B23" s="33" t="str">
        <f>IF(A23="", "", VLOOKUP(A23, tbl_Pizzas[[ID]:[Nome]], 2, FALSE))</f>
        <v>Portuguesa</v>
      </c>
      <c r="C23" s="36" t="s">
        <v>20</v>
      </c>
      <c r="D23" s="111">
        <v>0.1</v>
      </c>
      <c r="E23" s="36" t="s">
        <v>10</v>
      </c>
      <c r="F23" s="36">
        <v>36.5</v>
      </c>
      <c r="G23" s="36">
        <f t="shared" si="0"/>
        <v>3.6500000000000004</v>
      </c>
      <c r="H23" s="33">
        <f>IF(tbl_FichaTecnica[[#This Row],[ID]]="", "", SUMIF(tbl_FichaTecnica[ID], tbl_FichaTecnica[[#This Row],[ID]], tbl_FichaTecnica[Custo Parcial]))</f>
        <v>24.631</v>
      </c>
      <c r="J23" s="119" t="s">
        <v>317</v>
      </c>
      <c r="K23"/>
      <c r="L23" s="120">
        <f>COUNTIF(tbl_FichaTecnica[Unidade],"un")</f>
        <v>42</v>
      </c>
      <c r="M23" s="121"/>
    </row>
    <row r="24" spans="1:13" ht="16.5" x14ac:dyDescent="0.25">
      <c r="A24" s="42">
        <v>4</v>
      </c>
      <c r="B24" s="33" t="str">
        <f>IF(A24="", "", VLOOKUP(A24, tbl_Pizzas[[ID]:[Nome]], 2, FALSE))</f>
        <v>Portuguesa</v>
      </c>
      <c r="C24" s="33" t="s">
        <v>69</v>
      </c>
      <c r="D24" s="112">
        <v>2</v>
      </c>
      <c r="E24" s="33" t="s">
        <v>14</v>
      </c>
      <c r="F24" s="33">
        <v>0.8</v>
      </c>
      <c r="G24" s="33">
        <f t="shared" si="0"/>
        <v>1.6</v>
      </c>
      <c r="H24" s="33">
        <f>IF(tbl_FichaTecnica[[#This Row],[ID]]="", "", SUMIF(tbl_FichaTecnica[ID], tbl_FichaTecnica[[#This Row],[ID]], tbl_FichaTecnica[Custo Parcial]))</f>
        <v>24.631</v>
      </c>
      <c r="J24" s="119" t="s">
        <v>318</v>
      </c>
      <c r="K24"/>
      <c r="L24" s="120">
        <f>COUNTIF(tbl_FichaTecnica[Unidade],"kg")</f>
        <v>102</v>
      </c>
      <c r="M24" s="121"/>
    </row>
    <row r="25" spans="1:13" ht="16.5" x14ac:dyDescent="0.25">
      <c r="A25" s="42">
        <v>4</v>
      </c>
      <c r="B25" s="33" t="str">
        <f>IF(A25="", "", VLOOKUP(A25, tbl_Pizzas[[ID]:[Nome]], 2, FALSE))</f>
        <v>Portuguesa</v>
      </c>
      <c r="C25" s="33" t="s">
        <v>23</v>
      </c>
      <c r="D25" s="112">
        <v>7.0000000000000007E-2</v>
      </c>
      <c r="E25" s="33" t="s">
        <v>10</v>
      </c>
      <c r="F25" s="33">
        <v>7.8</v>
      </c>
      <c r="G25" s="33">
        <f t="shared" si="0"/>
        <v>0.54600000000000004</v>
      </c>
      <c r="H25" s="33">
        <f>IF(tbl_FichaTecnica[[#This Row],[ID]]="", "", SUMIF(tbl_FichaTecnica[ID], tbl_FichaTecnica[[#This Row],[ID]], tbl_FichaTecnica[Custo Parcial]))</f>
        <v>24.631</v>
      </c>
      <c r="J25" s="119" t="s">
        <v>319</v>
      </c>
      <c r="K25"/>
      <c r="L25" s="120">
        <f>COUNTIF(tbl_FichaTecnica[Unidade],"L")</f>
        <v>29</v>
      </c>
      <c r="M25" s="121"/>
    </row>
    <row r="26" spans="1:13" ht="16.5" x14ac:dyDescent="0.25">
      <c r="A26" s="43">
        <v>4</v>
      </c>
      <c r="B26" s="33" t="str">
        <f>IF(A26="", "", VLOOKUP(A26, tbl_Pizzas[[ID]:[Nome]], 2, FALSE))</f>
        <v>Portuguesa</v>
      </c>
      <c r="C26" s="36" t="s">
        <v>28</v>
      </c>
      <c r="D26" s="111">
        <v>0.05</v>
      </c>
      <c r="E26" s="36" t="s">
        <v>10</v>
      </c>
      <c r="F26" s="36">
        <v>25</v>
      </c>
      <c r="G26" s="36">
        <f t="shared" si="0"/>
        <v>1.25</v>
      </c>
      <c r="H26" s="33">
        <f>IF(tbl_FichaTecnica[[#This Row],[ID]]="", "", SUMIF(tbl_FichaTecnica[ID], tbl_FichaTecnica[[#This Row],[ID]], tbl_FichaTecnica[Custo Parcial]))</f>
        <v>24.631</v>
      </c>
      <c r="J26" s="122" t="s">
        <v>320</v>
      </c>
      <c r="K26" s="123"/>
      <c r="L26" s="129">
        <f>COUNTIF(tbl_FichaTecnica[Unidade],"g")</f>
        <v>7</v>
      </c>
      <c r="M26" s="125"/>
    </row>
    <row r="27" spans="1:13" ht="16.5" x14ac:dyDescent="0.25">
      <c r="A27" s="42">
        <v>5</v>
      </c>
      <c r="B27" s="33" t="str">
        <f>IF(A27="", "", VLOOKUP(A27, tbl_Pizzas[[ID]:[Nome]], 2, FALSE))</f>
        <v>Frango com Catupiry</v>
      </c>
      <c r="C27" s="33" t="s">
        <v>9</v>
      </c>
      <c r="D27" s="112">
        <v>1</v>
      </c>
      <c r="E27" s="33" t="s">
        <v>14</v>
      </c>
      <c r="F27" s="33">
        <v>6.8</v>
      </c>
      <c r="G27" s="33">
        <f t="shared" si="0"/>
        <v>6.8</v>
      </c>
      <c r="H27" s="33">
        <f>IF(tbl_FichaTecnica[[#This Row],[ID]]="", "", SUMIF(tbl_FichaTecnica[ID], tbl_FichaTecnica[[#This Row],[ID]], tbl_FichaTecnica[Custo Parcial]))</f>
        <v>26.684999999999999</v>
      </c>
      <c r="J27"/>
      <c r="K27"/>
      <c r="L27"/>
      <c r="M27"/>
    </row>
    <row r="28" spans="1:13" ht="16.5" x14ac:dyDescent="0.25">
      <c r="A28" s="43">
        <v>5</v>
      </c>
      <c r="B28" s="33" t="str">
        <f>IF(A28="", "", VLOOKUP(A28, tbl_Pizzas[[ID]:[Nome]], 2, FALSE))</f>
        <v>Frango com Catupiry</v>
      </c>
      <c r="C28" s="36" t="s">
        <v>15</v>
      </c>
      <c r="D28" s="111">
        <v>0.15</v>
      </c>
      <c r="E28" s="36" t="s">
        <v>12</v>
      </c>
      <c r="F28" s="36">
        <v>13.9</v>
      </c>
      <c r="G28" s="36">
        <f t="shared" si="0"/>
        <v>2.085</v>
      </c>
      <c r="H28" s="33">
        <f>IF(tbl_FichaTecnica[[#This Row],[ID]]="", "", SUMIF(tbl_FichaTecnica[ID], tbl_FichaTecnica[[#This Row],[ID]], tbl_FichaTecnica[Custo Parcial]))</f>
        <v>26.684999999999999</v>
      </c>
      <c r="J28"/>
      <c r="K28"/>
      <c r="L28"/>
      <c r="M28"/>
    </row>
    <row r="29" spans="1:13" ht="16.5" x14ac:dyDescent="0.25">
      <c r="A29" s="42">
        <v>5</v>
      </c>
      <c r="B29" s="33" t="str">
        <f>IF(A29="", "", VLOOKUP(A29, tbl_Pizzas[[ID]:[Nome]], 2, FALSE))</f>
        <v>Frango com Catupiry</v>
      </c>
      <c r="C29" s="33" t="s">
        <v>17</v>
      </c>
      <c r="D29" s="112">
        <v>0.2</v>
      </c>
      <c r="E29" s="33" t="s">
        <v>10</v>
      </c>
      <c r="F29" s="33">
        <v>43.5</v>
      </c>
      <c r="G29" s="33">
        <f t="shared" si="0"/>
        <v>8.7000000000000011</v>
      </c>
      <c r="H29" s="33">
        <f>IF(tbl_FichaTecnica[[#This Row],[ID]]="", "", SUMIF(tbl_FichaTecnica[ID], tbl_FichaTecnica[[#This Row],[ID]], tbl_FichaTecnica[Custo Parcial]))</f>
        <v>26.684999999999999</v>
      </c>
      <c r="J29"/>
      <c r="K29"/>
      <c r="L29"/>
      <c r="M29"/>
    </row>
    <row r="30" spans="1:13" ht="16.5" x14ac:dyDescent="0.25">
      <c r="A30" s="42">
        <v>5</v>
      </c>
      <c r="B30" s="33" t="str">
        <f>IF(A30="", "", VLOOKUP(A30, tbl_Pizzas[[ID]:[Nome]], 2, FALSE))</f>
        <v>Frango com Catupiry</v>
      </c>
      <c r="C30" s="33" t="s">
        <v>31</v>
      </c>
      <c r="D30" s="112">
        <v>0.15</v>
      </c>
      <c r="E30" s="33" t="s">
        <v>10</v>
      </c>
      <c r="F30" s="33">
        <v>53</v>
      </c>
      <c r="G30" s="33">
        <f t="shared" si="0"/>
        <v>7.9499999999999993</v>
      </c>
      <c r="H30" s="33">
        <f>IF(tbl_FichaTecnica[[#This Row],[ID]]="", "", SUMIF(tbl_FichaTecnica[ID], tbl_FichaTecnica[[#This Row],[ID]], tbl_FichaTecnica[Custo Parcial]))</f>
        <v>26.684999999999999</v>
      </c>
      <c r="J30"/>
      <c r="K30"/>
      <c r="L30"/>
      <c r="M30"/>
    </row>
    <row r="31" spans="1:13" ht="16.5" x14ac:dyDescent="0.25">
      <c r="A31" s="43">
        <v>5</v>
      </c>
      <c r="B31" s="33" t="str">
        <f>IF(A31="", "", VLOOKUP(A31, tbl_Pizzas[[ID]:[Nome]], 2, FALSE))</f>
        <v>Frango com Catupiry</v>
      </c>
      <c r="C31" s="36" t="s">
        <v>30</v>
      </c>
      <c r="D31" s="111">
        <v>0.1</v>
      </c>
      <c r="E31" s="36" t="s">
        <v>12</v>
      </c>
      <c r="F31" s="36">
        <v>11.5</v>
      </c>
      <c r="G31" s="36">
        <f t="shared" si="0"/>
        <v>1.1500000000000001</v>
      </c>
      <c r="H31" s="33">
        <f>IF(tbl_FichaTecnica[[#This Row],[ID]]="", "", SUMIF(tbl_FichaTecnica[ID], tbl_FichaTecnica[[#This Row],[ID]], tbl_FichaTecnica[Custo Parcial]))</f>
        <v>26.684999999999999</v>
      </c>
      <c r="M31" s="96"/>
    </row>
    <row r="32" spans="1:13" ht="16.5" x14ac:dyDescent="0.25">
      <c r="A32" s="42">
        <v>6</v>
      </c>
      <c r="B32" s="33" t="str">
        <f>IF(A32="", "", VLOOKUP(A32, tbl_Pizzas[[ID]:[Nome]], 2, FALSE))</f>
        <v>Chocolate com Banana</v>
      </c>
      <c r="C32" s="33" t="s">
        <v>9</v>
      </c>
      <c r="D32" s="112">
        <v>1</v>
      </c>
      <c r="E32" s="33" t="s">
        <v>14</v>
      </c>
      <c r="F32" s="33">
        <v>6.8</v>
      </c>
      <c r="G32" s="33">
        <f t="shared" si="0"/>
        <v>6.8</v>
      </c>
      <c r="H32" s="33">
        <f>IF(tbl_FichaTecnica[[#This Row],[ID]]="", "", SUMIF(tbl_FichaTecnica[ID], tbl_FichaTecnica[[#This Row],[ID]], tbl_FichaTecnica[Custo Parcial]))</f>
        <v>18.224999999999998</v>
      </c>
    </row>
    <row r="33" spans="1:8" ht="16.5" x14ac:dyDescent="0.25">
      <c r="A33" s="43">
        <v>6</v>
      </c>
      <c r="B33" s="33" t="str">
        <f>IF(A33="", "", VLOOKUP(A33, tbl_Pizzas[[ID]:[Nome]], 2, FALSE))</f>
        <v>Chocolate com Banana</v>
      </c>
      <c r="C33" s="36" t="s">
        <v>32</v>
      </c>
      <c r="D33" s="111">
        <v>0.2</v>
      </c>
      <c r="E33" s="36" t="s">
        <v>10</v>
      </c>
      <c r="F33" s="36">
        <v>37.5</v>
      </c>
      <c r="G33" s="36">
        <f t="shared" si="0"/>
        <v>7.5</v>
      </c>
      <c r="H33" s="33">
        <f>IF(tbl_FichaTecnica[[#This Row],[ID]]="", "", SUMIF(tbl_FichaTecnica[ID], tbl_FichaTecnica[[#This Row],[ID]], tbl_FichaTecnica[Custo Parcial]))</f>
        <v>18.224999999999998</v>
      </c>
    </row>
    <row r="34" spans="1:8" ht="16.5" x14ac:dyDescent="0.25">
      <c r="A34" s="42">
        <v>6</v>
      </c>
      <c r="B34" s="33" t="str">
        <f>IF(A34="", "", VLOOKUP(A34, tbl_Pizzas[[ID]:[Nome]], 2, FALSE))</f>
        <v>Chocolate com Banana</v>
      </c>
      <c r="C34" s="33" t="s">
        <v>34</v>
      </c>
      <c r="D34" s="112">
        <v>2</v>
      </c>
      <c r="E34" s="33" t="s">
        <v>14</v>
      </c>
      <c r="F34" s="33">
        <v>1.45</v>
      </c>
      <c r="G34" s="33">
        <f t="shared" si="0"/>
        <v>2.9</v>
      </c>
      <c r="H34" s="33">
        <f>IF(tbl_FichaTecnica[[#This Row],[ID]]="", "", SUMIF(tbl_FichaTecnica[ID], tbl_FichaTecnica[[#This Row],[ID]], tbl_FichaTecnica[Custo Parcial]))</f>
        <v>18.224999999999998</v>
      </c>
    </row>
    <row r="35" spans="1:8" ht="16.5" x14ac:dyDescent="0.25">
      <c r="A35" s="42">
        <v>6</v>
      </c>
      <c r="B35" s="33" t="str">
        <f>IF(A35="", "", VLOOKUP(A35, tbl_Pizzas[[ID]:[Nome]], 2, FALSE))</f>
        <v>Chocolate com Banana</v>
      </c>
      <c r="C35" s="33" t="s">
        <v>35</v>
      </c>
      <c r="D35" s="112">
        <v>0.05</v>
      </c>
      <c r="E35" s="33" t="s">
        <v>10</v>
      </c>
      <c r="F35" s="33">
        <v>20.5</v>
      </c>
      <c r="G35" s="33">
        <f t="shared" si="0"/>
        <v>1.0250000000000001</v>
      </c>
      <c r="H35" s="33">
        <f>IF(tbl_FichaTecnica[[#This Row],[ID]]="", "", SUMIF(tbl_FichaTecnica[ID], tbl_FichaTecnica[[#This Row],[ID]], tbl_FichaTecnica[Custo Parcial]))</f>
        <v>18.224999999999998</v>
      </c>
    </row>
    <row r="36" spans="1:8" ht="16.5" x14ac:dyDescent="0.25">
      <c r="A36" s="43">
        <v>7</v>
      </c>
      <c r="B36" s="33" t="str">
        <f>IF(A36="", "", VLOOKUP(A36, tbl_Pizzas[[ID]:[Nome]], 2, FALSE))</f>
        <v>Romeu e Julieta</v>
      </c>
      <c r="C36" s="36" t="s">
        <v>17</v>
      </c>
      <c r="D36" s="111">
        <v>0.18</v>
      </c>
      <c r="E36" s="36" t="s">
        <v>10</v>
      </c>
      <c r="F36" s="36">
        <v>43.5</v>
      </c>
      <c r="G36" s="36">
        <f t="shared" si="0"/>
        <v>7.83</v>
      </c>
      <c r="H36" s="33">
        <f>IF(tbl_FichaTecnica[[#This Row],[ID]]="", "", SUMIF(tbl_FichaTecnica[ID], tbl_FichaTecnica[[#This Row],[ID]], tbl_FichaTecnica[Custo Parcial]))</f>
        <v>11.17</v>
      </c>
    </row>
    <row r="37" spans="1:8" ht="16.5" x14ac:dyDescent="0.25">
      <c r="A37" s="42">
        <v>7</v>
      </c>
      <c r="B37" s="33" t="str">
        <f>IF(A37="", "", VLOOKUP(A37, tbl_Pizzas[[ID]:[Nome]], 2, FALSE))</f>
        <v>Romeu e Julieta</v>
      </c>
      <c r="C37" s="33" t="s">
        <v>77</v>
      </c>
      <c r="D37" s="112">
        <v>0.15</v>
      </c>
      <c r="E37" s="33" t="s">
        <v>10</v>
      </c>
      <c r="F37" s="33">
        <v>16.8</v>
      </c>
      <c r="G37" s="33">
        <f t="shared" si="0"/>
        <v>2.52</v>
      </c>
      <c r="H37" s="33">
        <f>IF(tbl_FichaTecnica[[#This Row],[ID]]="", "", SUMIF(tbl_FichaTecnica[ID], tbl_FichaTecnica[[#This Row],[ID]], tbl_FichaTecnica[Custo Parcial]))</f>
        <v>11.17</v>
      </c>
    </row>
    <row r="38" spans="1:8" ht="16.5" x14ac:dyDescent="0.25">
      <c r="A38" s="43">
        <v>7</v>
      </c>
      <c r="B38" s="33" t="str">
        <f>IF(A38="", "", VLOOKUP(A38, tbl_Pizzas[[ID]:[Nome]], 2, FALSE))</f>
        <v>Romeu e Julieta</v>
      </c>
      <c r="C38" s="36" t="s">
        <v>35</v>
      </c>
      <c r="D38" s="111">
        <v>0.04</v>
      </c>
      <c r="E38" s="36" t="s">
        <v>10</v>
      </c>
      <c r="F38" s="36">
        <v>20.5</v>
      </c>
      <c r="G38" s="36">
        <f t="shared" si="0"/>
        <v>0.82000000000000006</v>
      </c>
      <c r="H38" s="33">
        <f>IF(tbl_FichaTecnica[[#This Row],[ID]]="", "", SUMIF(tbl_FichaTecnica[ID], tbl_FichaTecnica[[#This Row],[ID]], tbl_FichaTecnica[Custo Parcial]))</f>
        <v>11.17</v>
      </c>
    </row>
    <row r="39" spans="1:8" ht="16.5" x14ac:dyDescent="0.25">
      <c r="A39" s="42">
        <v>8</v>
      </c>
      <c r="B39" s="33" t="str">
        <f>IF(A39="", "", VLOOKUP(A39, tbl_Pizzas[[ID]:[Nome]], 2, FALSE))</f>
        <v>Lombo Canadense</v>
      </c>
      <c r="C39" s="33" t="s">
        <v>9</v>
      </c>
      <c r="D39" s="112">
        <v>1</v>
      </c>
      <c r="E39" s="33" t="s">
        <v>14</v>
      </c>
      <c r="F39" s="33">
        <v>6.8</v>
      </c>
      <c r="G39" s="33">
        <f t="shared" si="0"/>
        <v>6.8</v>
      </c>
      <c r="H39" s="33">
        <f>IF(tbl_FichaTecnica[[#This Row],[ID]]="", "", SUMIF(tbl_FichaTecnica[ID], tbl_FichaTecnica[[#This Row],[ID]], tbl_FichaTecnica[Custo Parcial]))</f>
        <v>26.981000000000002</v>
      </c>
    </row>
    <row r="40" spans="1:8" ht="16.5" x14ac:dyDescent="0.25">
      <c r="A40" s="42">
        <v>8</v>
      </c>
      <c r="B40" s="33" t="str">
        <f>IF(A40="", "", VLOOKUP(A40, tbl_Pizzas[[ID]:[Nome]], 2, FALSE))</f>
        <v>Lombo Canadense</v>
      </c>
      <c r="C40" s="33" t="s">
        <v>15</v>
      </c>
      <c r="D40" s="112">
        <v>0.15</v>
      </c>
      <c r="E40" s="33" t="s">
        <v>12</v>
      </c>
      <c r="F40" s="33">
        <v>13.9</v>
      </c>
      <c r="G40" s="33">
        <f t="shared" si="0"/>
        <v>2.085</v>
      </c>
      <c r="H40" s="33">
        <f>IF(tbl_FichaTecnica[[#This Row],[ID]]="", "", SUMIF(tbl_FichaTecnica[ID], tbl_FichaTecnica[[#This Row],[ID]], tbl_FichaTecnica[Custo Parcial]))</f>
        <v>26.981000000000002</v>
      </c>
    </row>
    <row r="41" spans="1:8" ht="16.5" x14ac:dyDescent="0.25">
      <c r="A41" s="43">
        <v>8</v>
      </c>
      <c r="B41" s="33" t="str">
        <f>IF(A41="", "", VLOOKUP(A41, tbl_Pizzas[[ID]:[Nome]], 2, FALSE))</f>
        <v>Lombo Canadense</v>
      </c>
      <c r="C41" s="36" t="s">
        <v>17</v>
      </c>
      <c r="D41" s="111">
        <v>0.2</v>
      </c>
      <c r="E41" s="36" t="s">
        <v>10</v>
      </c>
      <c r="F41" s="36">
        <v>43.5</v>
      </c>
      <c r="G41" s="36">
        <f t="shared" si="0"/>
        <v>8.7000000000000011</v>
      </c>
      <c r="H41" s="33">
        <f>IF(tbl_FichaTecnica[[#This Row],[ID]]="", "", SUMIF(tbl_FichaTecnica[ID], tbl_FichaTecnica[[#This Row],[ID]], tbl_FichaTecnica[Custo Parcial]))</f>
        <v>26.981000000000002</v>
      </c>
    </row>
    <row r="42" spans="1:8" ht="16.5" x14ac:dyDescent="0.25">
      <c r="A42" s="42">
        <v>8</v>
      </c>
      <c r="B42" s="33" t="str">
        <f>IF(A42="", "", VLOOKUP(A42, tbl_Pizzas[[ID]:[Nome]], 2, FALSE))</f>
        <v>Lombo Canadense</v>
      </c>
      <c r="C42" s="33" t="s">
        <v>64</v>
      </c>
      <c r="D42" s="112">
        <v>0.15</v>
      </c>
      <c r="E42" s="33" t="s">
        <v>10</v>
      </c>
      <c r="F42" s="33">
        <v>59</v>
      </c>
      <c r="G42" s="33">
        <f t="shared" si="0"/>
        <v>8.85</v>
      </c>
      <c r="H42" s="33">
        <f>IF(tbl_FichaTecnica[[#This Row],[ID]]="", "", SUMIF(tbl_FichaTecnica[ID], tbl_FichaTecnica[[#This Row],[ID]], tbl_FichaTecnica[Custo Parcial]))</f>
        <v>26.981000000000002</v>
      </c>
    </row>
    <row r="43" spans="1:8" ht="16.5" x14ac:dyDescent="0.25">
      <c r="A43" s="43">
        <v>8</v>
      </c>
      <c r="B43" s="33" t="str">
        <f>IF(A43="", "", VLOOKUP(A43, tbl_Pizzas[[ID]:[Nome]], 2, FALSE))</f>
        <v>Lombo Canadense</v>
      </c>
      <c r="C43" s="36" t="s">
        <v>23</v>
      </c>
      <c r="D43" s="111">
        <v>7.0000000000000007E-2</v>
      </c>
      <c r="E43" s="36" t="s">
        <v>10</v>
      </c>
      <c r="F43" s="36">
        <v>7.8</v>
      </c>
      <c r="G43" s="36">
        <f t="shared" si="0"/>
        <v>0.54600000000000004</v>
      </c>
      <c r="H43" s="33">
        <f>IF(tbl_FichaTecnica[[#This Row],[ID]]="", "", SUMIF(tbl_FichaTecnica[ID], tbl_FichaTecnica[[#This Row],[ID]], tbl_FichaTecnica[Custo Parcial]))</f>
        <v>26.981000000000002</v>
      </c>
    </row>
    <row r="44" spans="1:8" ht="16.5" x14ac:dyDescent="0.25">
      <c r="A44" s="42">
        <v>9</v>
      </c>
      <c r="B44" s="33" t="str">
        <f>IF(A44="", "", VLOOKUP(A44, tbl_Pizzas[[ID]:[Nome]], 2, FALSE))</f>
        <v>Atum com Cebola</v>
      </c>
      <c r="C44" s="33" t="s">
        <v>9</v>
      </c>
      <c r="D44" s="112">
        <v>1</v>
      </c>
      <c r="E44" s="33" t="s">
        <v>14</v>
      </c>
      <c r="F44" s="33">
        <v>6.8</v>
      </c>
      <c r="G44" s="33">
        <f t="shared" si="0"/>
        <v>6.8</v>
      </c>
      <c r="H44" s="33">
        <f>IF(tbl_FichaTecnica[[#This Row],[ID]]="", "", SUMIF(tbl_FichaTecnica[ID], tbl_FichaTecnica[[#This Row],[ID]], tbl_FichaTecnica[Custo Parcial]))</f>
        <v>31.408999999999999</v>
      </c>
    </row>
    <row r="45" spans="1:8" ht="16.5" x14ac:dyDescent="0.25">
      <c r="A45" s="42">
        <v>9</v>
      </c>
      <c r="B45" s="33" t="str">
        <f>IF(A45="", "", VLOOKUP(A45, tbl_Pizzas[[ID]:[Nome]], 2, FALSE))</f>
        <v>Atum com Cebola</v>
      </c>
      <c r="C45" s="33" t="s">
        <v>15</v>
      </c>
      <c r="D45" s="112">
        <v>0.15</v>
      </c>
      <c r="E45" s="33" t="s">
        <v>12</v>
      </c>
      <c r="F45" s="33">
        <v>13.9</v>
      </c>
      <c r="G45" s="33">
        <f t="shared" si="0"/>
        <v>2.085</v>
      </c>
      <c r="H45" s="33">
        <f>IF(tbl_FichaTecnica[[#This Row],[ID]]="", "", SUMIF(tbl_FichaTecnica[ID], tbl_FichaTecnica[[#This Row],[ID]], tbl_FichaTecnica[Custo Parcial]))</f>
        <v>31.408999999999999</v>
      </c>
    </row>
    <row r="46" spans="1:8" ht="16.5" x14ac:dyDescent="0.25">
      <c r="A46" s="43">
        <v>9</v>
      </c>
      <c r="B46" s="33" t="str">
        <f>IF(A46="", "", VLOOKUP(A46, tbl_Pizzas[[ID]:[Nome]], 2, FALSE))</f>
        <v>Atum com Cebola</v>
      </c>
      <c r="C46" s="36" t="s">
        <v>17</v>
      </c>
      <c r="D46" s="111">
        <v>0.2</v>
      </c>
      <c r="E46" s="36" t="s">
        <v>10</v>
      </c>
      <c r="F46" s="36">
        <v>43.5</v>
      </c>
      <c r="G46" s="36">
        <f t="shared" si="0"/>
        <v>8.7000000000000011</v>
      </c>
      <c r="H46" s="33">
        <f>IF(tbl_FichaTecnica[[#This Row],[ID]]="", "", SUMIF(tbl_FichaTecnica[ID], tbl_FichaTecnica[[#This Row],[ID]], tbl_FichaTecnica[Custo Parcial]))</f>
        <v>31.408999999999999</v>
      </c>
    </row>
    <row r="47" spans="1:8" ht="16.5" x14ac:dyDescent="0.25">
      <c r="A47" s="42">
        <v>9</v>
      </c>
      <c r="B47" s="33" t="str">
        <f>IF(A47="", "", VLOOKUP(A47, tbl_Pizzas[[ID]:[Nome]], 2, FALSE))</f>
        <v>Atum com Cebola</v>
      </c>
      <c r="C47" s="33" t="s">
        <v>66</v>
      </c>
      <c r="D47" s="112">
        <v>1</v>
      </c>
      <c r="E47" s="33" t="s">
        <v>14</v>
      </c>
      <c r="F47" s="33">
        <v>13.2</v>
      </c>
      <c r="G47" s="33">
        <f t="shared" si="0"/>
        <v>13.2</v>
      </c>
      <c r="H47" s="33">
        <f>IF(tbl_FichaTecnica[[#This Row],[ID]]="", "", SUMIF(tbl_FichaTecnica[ID], tbl_FichaTecnica[[#This Row],[ID]], tbl_FichaTecnica[Custo Parcial]))</f>
        <v>31.408999999999999</v>
      </c>
    </row>
    <row r="48" spans="1:8" ht="16.5" x14ac:dyDescent="0.25">
      <c r="A48" s="43">
        <v>9</v>
      </c>
      <c r="B48" s="33" t="str">
        <f>IF(A48="", "", VLOOKUP(A48, tbl_Pizzas[[ID]:[Nome]], 2, FALSE))</f>
        <v>Atum com Cebola</v>
      </c>
      <c r="C48" s="36" t="s">
        <v>23</v>
      </c>
      <c r="D48" s="111">
        <v>0.08</v>
      </c>
      <c r="E48" s="36" t="s">
        <v>10</v>
      </c>
      <c r="F48" s="36">
        <v>7.8</v>
      </c>
      <c r="G48" s="36">
        <f t="shared" si="0"/>
        <v>0.624</v>
      </c>
      <c r="H48" s="33">
        <f>IF(tbl_FichaTecnica[[#This Row],[ID]]="", "", SUMIF(tbl_FichaTecnica[ID], tbl_FichaTecnica[[#This Row],[ID]], tbl_FichaTecnica[Custo Parcial]))</f>
        <v>31.408999999999999</v>
      </c>
    </row>
    <row r="49" spans="1:8" ht="16.5" x14ac:dyDescent="0.25">
      <c r="A49" s="42">
        <v>10</v>
      </c>
      <c r="B49" s="33" t="str">
        <f>IF(A49="", "", VLOOKUP(A49, tbl_Pizzas[[ID]:[Nome]], 2, FALSE))</f>
        <v>Bacon com Ovo</v>
      </c>
      <c r="C49" s="33" t="s">
        <v>9</v>
      </c>
      <c r="D49" s="112">
        <v>1</v>
      </c>
      <c r="E49" s="33" t="s">
        <v>14</v>
      </c>
      <c r="F49" s="33">
        <v>6.8</v>
      </c>
      <c r="G49" s="33">
        <f t="shared" si="0"/>
        <v>6.8</v>
      </c>
      <c r="H49" s="33">
        <f>IF(tbl_FichaTecnica[[#This Row],[ID]]="", "", SUMIF(tbl_FichaTecnica[ID], tbl_FichaTecnica[[#This Row],[ID]], tbl_FichaTecnica[Custo Parcial]))</f>
        <v>24.155000000000001</v>
      </c>
    </row>
    <row r="50" spans="1:8" ht="16.5" x14ac:dyDescent="0.25">
      <c r="A50" s="42">
        <v>10</v>
      </c>
      <c r="B50" s="33" t="str">
        <f>IF(A50="", "", VLOOKUP(A50, tbl_Pizzas[[ID]:[Nome]], 2, FALSE))</f>
        <v>Bacon com Ovo</v>
      </c>
      <c r="C50" s="33" t="s">
        <v>15</v>
      </c>
      <c r="D50" s="112">
        <v>0.15</v>
      </c>
      <c r="E50" s="33" t="s">
        <v>12</v>
      </c>
      <c r="F50" s="33">
        <v>13.9</v>
      </c>
      <c r="G50" s="33">
        <f t="shared" si="0"/>
        <v>2.085</v>
      </c>
      <c r="H50" s="33">
        <f>IF(tbl_FichaTecnica[[#This Row],[ID]]="", "", SUMIF(tbl_FichaTecnica[ID], tbl_FichaTecnica[[#This Row],[ID]], tbl_FichaTecnica[Custo Parcial]))</f>
        <v>24.155000000000001</v>
      </c>
    </row>
    <row r="51" spans="1:8" ht="16.5" x14ac:dyDescent="0.25">
      <c r="A51" s="43">
        <v>10</v>
      </c>
      <c r="B51" s="33" t="str">
        <f>IF(A51="", "", VLOOKUP(A51, tbl_Pizzas[[ID]:[Nome]], 2, FALSE))</f>
        <v>Bacon com Ovo</v>
      </c>
      <c r="C51" s="36" t="s">
        <v>17</v>
      </c>
      <c r="D51" s="111">
        <v>0.22</v>
      </c>
      <c r="E51" s="36" t="s">
        <v>10</v>
      </c>
      <c r="F51" s="36">
        <v>43.5</v>
      </c>
      <c r="G51" s="36">
        <f t="shared" si="0"/>
        <v>9.57</v>
      </c>
      <c r="H51" s="33">
        <f>IF(tbl_FichaTecnica[[#This Row],[ID]]="", "", SUMIF(tbl_FichaTecnica[ID], tbl_FichaTecnica[[#This Row],[ID]], tbl_FichaTecnica[Custo Parcial]))</f>
        <v>24.155000000000001</v>
      </c>
    </row>
    <row r="52" spans="1:8" ht="16.5" x14ac:dyDescent="0.25">
      <c r="A52" s="42">
        <v>10</v>
      </c>
      <c r="B52" s="33" t="str">
        <f>IF(A52="", "", VLOOKUP(A52, tbl_Pizzas[[ID]:[Nome]], 2, FALSE))</f>
        <v>Bacon com Ovo</v>
      </c>
      <c r="C52" s="33" t="s">
        <v>67</v>
      </c>
      <c r="D52" s="112">
        <v>0.1</v>
      </c>
      <c r="E52" s="33" t="s">
        <v>10</v>
      </c>
      <c r="F52" s="33">
        <v>41</v>
      </c>
      <c r="G52" s="33">
        <f t="shared" si="0"/>
        <v>4.1000000000000005</v>
      </c>
      <c r="H52" s="33">
        <f>IF(tbl_FichaTecnica[[#This Row],[ID]]="", "", SUMIF(tbl_FichaTecnica[ID], tbl_FichaTecnica[[#This Row],[ID]], tbl_FichaTecnica[Custo Parcial]))</f>
        <v>24.155000000000001</v>
      </c>
    </row>
    <row r="53" spans="1:8" ht="16.5" x14ac:dyDescent="0.25">
      <c r="A53" s="43">
        <v>10</v>
      </c>
      <c r="B53" s="33" t="str">
        <f>IF(A53="", "", VLOOKUP(A53, tbl_Pizzas[[ID]:[Nome]], 2, FALSE))</f>
        <v>Bacon com Ovo</v>
      </c>
      <c r="C53" s="36" t="s">
        <v>69</v>
      </c>
      <c r="D53" s="111">
        <v>2</v>
      </c>
      <c r="E53" s="36" t="s">
        <v>14</v>
      </c>
      <c r="F53" s="36">
        <v>0.8</v>
      </c>
      <c r="G53" s="36">
        <f t="shared" si="0"/>
        <v>1.6</v>
      </c>
      <c r="H53" s="33">
        <f>IF(tbl_FichaTecnica[[#This Row],[ID]]="", "", SUMIF(tbl_FichaTecnica[ID], tbl_FichaTecnica[[#This Row],[ID]], tbl_FichaTecnica[Custo Parcial]))</f>
        <v>24.155000000000001</v>
      </c>
    </row>
    <row r="54" spans="1:8" ht="16.5" x14ac:dyDescent="0.25">
      <c r="A54" s="42">
        <v>11</v>
      </c>
      <c r="B54" s="33" t="str">
        <f>IF(A54="", "", VLOOKUP(A54, tbl_Pizzas[[ID]:[Nome]], 2, FALSE))</f>
        <v>Quatro Estações</v>
      </c>
      <c r="C54" s="33" t="s">
        <v>9</v>
      </c>
      <c r="D54" s="112">
        <v>1</v>
      </c>
      <c r="E54" s="33" t="s">
        <v>14</v>
      </c>
      <c r="F54" s="33">
        <v>6.8</v>
      </c>
      <c r="G54" s="33">
        <f t="shared" si="0"/>
        <v>6.8</v>
      </c>
      <c r="H54" s="33">
        <f>IF(tbl_FichaTecnica[[#This Row],[ID]]="", "", SUMIF(tbl_FichaTecnica[ID], tbl_FichaTecnica[[#This Row],[ID]], tbl_FichaTecnica[Custo Parcial]))</f>
        <v>24.504999999999995</v>
      </c>
    </row>
    <row r="55" spans="1:8" ht="16.5" x14ac:dyDescent="0.25">
      <c r="A55" s="42">
        <v>11</v>
      </c>
      <c r="B55" s="33" t="str">
        <f>IF(A55="", "", VLOOKUP(A55, tbl_Pizzas[[ID]:[Nome]], 2, FALSE))</f>
        <v>Quatro Estações</v>
      </c>
      <c r="C55" s="33" t="s">
        <v>15</v>
      </c>
      <c r="D55" s="112">
        <v>0.15</v>
      </c>
      <c r="E55" s="33" t="s">
        <v>12</v>
      </c>
      <c r="F55" s="33">
        <v>13.9</v>
      </c>
      <c r="G55" s="33">
        <f t="shared" si="0"/>
        <v>2.085</v>
      </c>
      <c r="H55" s="33">
        <f>IF(tbl_FichaTecnica[[#This Row],[ID]]="", "", SUMIF(tbl_FichaTecnica[ID], tbl_FichaTecnica[[#This Row],[ID]], tbl_FichaTecnica[Custo Parcial]))</f>
        <v>24.504999999999995</v>
      </c>
    </row>
    <row r="56" spans="1:8" ht="16.5" x14ac:dyDescent="0.25">
      <c r="A56" s="43">
        <v>11</v>
      </c>
      <c r="B56" s="33" t="str">
        <f>IF(A56="", "", VLOOKUP(A56, tbl_Pizzas[[ID]:[Nome]], 2, FALSE))</f>
        <v>Quatro Estações</v>
      </c>
      <c r="C56" s="36" t="s">
        <v>17</v>
      </c>
      <c r="D56" s="111">
        <v>0.22</v>
      </c>
      <c r="E56" s="36" t="s">
        <v>10</v>
      </c>
      <c r="F56" s="36">
        <v>43.5</v>
      </c>
      <c r="G56" s="36">
        <f t="shared" si="0"/>
        <v>9.57</v>
      </c>
      <c r="H56" s="33">
        <f>IF(tbl_FichaTecnica[[#This Row],[ID]]="", "", SUMIF(tbl_FichaTecnica[ID], tbl_FichaTecnica[[#This Row],[ID]], tbl_FichaTecnica[Custo Parcial]))</f>
        <v>24.504999999999995</v>
      </c>
    </row>
    <row r="57" spans="1:8" ht="16.5" x14ac:dyDescent="0.25">
      <c r="A57" s="42">
        <v>11</v>
      </c>
      <c r="B57" s="33" t="str">
        <f>IF(A57="", "", VLOOKUP(A57, tbl_Pizzas[[ID]:[Nome]], 2, FALSE))</f>
        <v>Quatro Estações</v>
      </c>
      <c r="C57" s="33" t="s">
        <v>20</v>
      </c>
      <c r="D57" s="112">
        <v>0.1</v>
      </c>
      <c r="E57" s="33" t="s">
        <v>10</v>
      </c>
      <c r="F57" s="33">
        <v>36.5</v>
      </c>
      <c r="G57" s="33">
        <f t="shared" si="0"/>
        <v>3.6500000000000004</v>
      </c>
      <c r="H57" s="33">
        <f>IF(tbl_FichaTecnica[[#This Row],[ID]]="", "", SUMIF(tbl_FichaTecnica[ID], tbl_FichaTecnica[[#This Row],[ID]], tbl_FichaTecnica[Custo Parcial]))</f>
        <v>24.504999999999995</v>
      </c>
    </row>
    <row r="58" spans="1:8" ht="16.5" x14ac:dyDescent="0.25">
      <c r="A58" s="43">
        <v>11</v>
      </c>
      <c r="B58" s="33" t="str">
        <f>IF(A58="", "", VLOOKUP(A58, tbl_Pizzas[[ID]:[Nome]], 2, FALSE))</f>
        <v>Quatro Estações</v>
      </c>
      <c r="C58" s="36" t="s">
        <v>30</v>
      </c>
      <c r="D58" s="111">
        <v>0.1</v>
      </c>
      <c r="E58" s="36" t="s">
        <v>12</v>
      </c>
      <c r="F58" s="36">
        <v>11.5</v>
      </c>
      <c r="G58" s="36">
        <f t="shared" si="0"/>
        <v>1.1500000000000001</v>
      </c>
      <c r="H58" s="33">
        <f>IF(tbl_FichaTecnica[[#This Row],[ID]]="", "", SUMIF(tbl_FichaTecnica[ID], tbl_FichaTecnica[[#This Row],[ID]], tbl_FichaTecnica[Custo Parcial]))</f>
        <v>24.504999999999995</v>
      </c>
    </row>
    <row r="59" spans="1:8" ht="16.5" x14ac:dyDescent="0.25">
      <c r="A59" s="42">
        <v>11</v>
      </c>
      <c r="B59" s="33" t="str">
        <f>IF(A59="", "", VLOOKUP(A59, tbl_Pizzas[[ID]:[Nome]], 2, FALSE))</f>
        <v>Quatro Estações</v>
      </c>
      <c r="C59" s="33" t="s">
        <v>28</v>
      </c>
      <c r="D59" s="112">
        <v>0.05</v>
      </c>
      <c r="E59" s="33" t="s">
        <v>10</v>
      </c>
      <c r="F59" s="33">
        <v>25</v>
      </c>
      <c r="G59" s="33">
        <f t="shared" si="0"/>
        <v>1.25</v>
      </c>
      <c r="H59" s="33">
        <f>IF(tbl_FichaTecnica[[#This Row],[ID]]="", "", SUMIF(tbl_FichaTecnica[ID], tbl_FichaTecnica[[#This Row],[ID]], tbl_FichaTecnica[Custo Parcial]))</f>
        <v>24.504999999999995</v>
      </c>
    </row>
    <row r="60" spans="1:8" ht="16.5" x14ac:dyDescent="0.25">
      <c r="A60" s="42"/>
      <c r="B60" s="33" t="str">
        <f>IF(A60="", "", VLOOKUP(A60, tbl_Pizzas[[ID]:[Nome]], 2, FALSE))</f>
        <v/>
      </c>
      <c r="C60" s="33"/>
      <c r="D60" s="112"/>
      <c r="E60" s="33"/>
      <c r="F60" s="33" t="s">
        <v>337</v>
      </c>
      <c r="G60" s="33" t="str">
        <f t="shared" si="0"/>
        <v/>
      </c>
      <c r="H60" s="33" t="str">
        <f>IF(tbl_FichaTecnica[[#This Row],[ID]]="", "", SUMIF(tbl_FichaTecnica[ID], tbl_FichaTecnica[[#This Row],[ID]], tbl_FichaTecnica[Custo Parcial]))</f>
        <v/>
      </c>
    </row>
    <row r="61" spans="1:8" ht="16.5" x14ac:dyDescent="0.25">
      <c r="A61" s="43">
        <v>12</v>
      </c>
      <c r="B61" s="33" t="str">
        <f>IF(A61="", "", VLOOKUP(A61, tbl_Pizzas[[ID]:[Nome]], 2, FALSE))</f>
        <v>Brigadeiro com Morango</v>
      </c>
      <c r="C61" s="36" t="s">
        <v>9</v>
      </c>
      <c r="D61" s="111">
        <v>1</v>
      </c>
      <c r="E61" s="36" t="s">
        <v>14</v>
      </c>
      <c r="F61" s="36">
        <v>6.8</v>
      </c>
      <c r="G61" s="36">
        <f t="shared" si="0"/>
        <v>6.8</v>
      </c>
      <c r="H61" s="33">
        <f>IF(tbl_FichaTecnica[[#This Row],[ID]]="", "", SUMIF(tbl_FichaTecnica[ID], tbl_FichaTecnica[[#This Row],[ID]], tbl_FichaTecnica[Custo Parcial]))</f>
        <v>14.620000000000001</v>
      </c>
    </row>
    <row r="62" spans="1:8" ht="16.5" x14ac:dyDescent="0.25">
      <c r="A62" s="42">
        <v>12</v>
      </c>
      <c r="B62" s="33" t="str">
        <f>IF(A62="", "", VLOOKUP(A62, tbl_Pizzas[[ID]:[Nome]], 2, FALSE))</f>
        <v>Brigadeiro com Morango</v>
      </c>
      <c r="C62" s="33" t="s">
        <v>73</v>
      </c>
      <c r="D62" s="112">
        <v>0.15</v>
      </c>
      <c r="E62" s="33" t="s">
        <v>10</v>
      </c>
      <c r="F62" s="33">
        <v>33</v>
      </c>
      <c r="G62" s="33">
        <f t="shared" si="0"/>
        <v>4.95</v>
      </c>
      <c r="H62" s="33">
        <f>IF(tbl_FichaTecnica[[#This Row],[ID]]="", "", SUMIF(tbl_FichaTecnica[ID], tbl_FichaTecnica[[#This Row],[ID]], tbl_FichaTecnica[Custo Parcial]))</f>
        <v>14.620000000000001</v>
      </c>
    </row>
    <row r="63" spans="1:8" ht="16.5" x14ac:dyDescent="0.25">
      <c r="A63" s="43">
        <v>12</v>
      </c>
      <c r="B63" s="33" t="str">
        <f>IF(A63="", "", VLOOKUP(A63, tbl_Pizzas[[ID]:[Nome]], 2, FALSE))</f>
        <v>Brigadeiro com Morango</v>
      </c>
      <c r="C63" s="36" t="s">
        <v>74</v>
      </c>
      <c r="D63" s="111">
        <v>0.1</v>
      </c>
      <c r="E63" s="36" t="s">
        <v>10</v>
      </c>
      <c r="F63" s="36">
        <v>20.5</v>
      </c>
      <c r="G63" s="36">
        <f t="shared" si="0"/>
        <v>2.0500000000000003</v>
      </c>
      <c r="H63" s="33">
        <f>IF(tbl_FichaTecnica[[#This Row],[ID]]="", "", SUMIF(tbl_FichaTecnica[ID], tbl_FichaTecnica[[#This Row],[ID]], tbl_FichaTecnica[Custo Parcial]))</f>
        <v>14.620000000000001</v>
      </c>
    </row>
    <row r="64" spans="1:8" ht="16.5" x14ac:dyDescent="0.25">
      <c r="A64" s="42">
        <v>12</v>
      </c>
      <c r="B64" s="33" t="str">
        <f>IF(A64="", "", VLOOKUP(A64, tbl_Pizzas[[ID]:[Nome]], 2, FALSE))</f>
        <v>Brigadeiro com Morango</v>
      </c>
      <c r="C64" s="33" t="s">
        <v>35</v>
      </c>
      <c r="D64" s="112">
        <v>0.04</v>
      </c>
      <c r="E64" s="33" t="s">
        <v>10</v>
      </c>
      <c r="F64" s="33">
        <v>20.5</v>
      </c>
      <c r="G64" s="33">
        <f t="shared" si="0"/>
        <v>0.82000000000000006</v>
      </c>
      <c r="H64" s="33">
        <f>IF(tbl_FichaTecnica[[#This Row],[ID]]="", "", SUMIF(tbl_FichaTecnica[ID], tbl_FichaTecnica[[#This Row],[ID]], tbl_FichaTecnica[Custo Parcial]))</f>
        <v>14.620000000000001</v>
      </c>
    </row>
    <row r="65" spans="1:8" ht="16.5" x14ac:dyDescent="0.25">
      <c r="A65" s="42"/>
      <c r="B65" s="33" t="str">
        <f>IF(A65="", "", VLOOKUP(A65, tbl_Pizzas[[ID]:[Nome]], 2, FALSE))</f>
        <v/>
      </c>
      <c r="C65" s="33"/>
      <c r="D65" s="112"/>
      <c r="E65" s="33"/>
      <c r="F65" s="33" t="s">
        <v>337</v>
      </c>
      <c r="G65" s="33" t="str">
        <f t="shared" si="0"/>
        <v/>
      </c>
      <c r="H65" s="33" t="str">
        <f>IF(tbl_FichaTecnica[[#This Row],[ID]]="", "", SUMIF(tbl_FichaTecnica[ID], tbl_FichaTecnica[[#This Row],[ID]], tbl_FichaTecnica[Custo Parcial]))</f>
        <v/>
      </c>
    </row>
    <row r="66" spans="1:8" ht="16.5" x14ac:dyDescent="0.25">
      <c r="A66" s="43">
        <v>13</v>
      </c>
      <c r="B66" s="33" t="str">
        <f>IF(A66="", "", VLOOKUP(A66, tbl_Pizzas[[ID]:[Nome]], 2, FALSE))</f>
        <v>Chocolate com Canela</v>
      </c>
      <c r="C66" s="36" t="s">
        <v>9</v>
      </c>
      <c r="D66" s="111">
        <v>1</v>
      </c>
      <c r="E66" s="36" t="s">
        <v>14</v>
      </c>
      <c r="F66" s="36">
        <v>6.8</v>
      </c>
      <c r="G66" s="36">
        <f t="shared" si="0"/>
        <v>6.8</v>
      </c>
      <c r="H66" s="33">
        <f>IF(tbl_FichaTecnica[[#This Row],[ID]]="", "", SUMIF(tbl_FichaTecnica[ID], tbl_FichaTecnica[[#This Row],[ID]], tbl_FichaTecnica[Custo Parcial]))</f>
        <v>14.301400000000001</v>
      </c>
    </row>
    <row r="67" spans="1:8" ht="16.5" x14ac:dyDescent="0.25">
      <c r="A67" s="42">
        <v>13</v>
      </c>
      <c r="B67" s="33" t="str">
        <f>IF(A67="", "", VLOOKUP(A67, tbl_Pizzas[[ID]:[Nome]], 2, FALSE))</f>
        <v>Chocolate com Canela</v>
      </c>
      <c r="C67" s="33" t="s">
        <v>32</v>
      </c>
      <c r="D67" s="112">
        <v>0.2</v>
      </c>
      <c r="E67" s="33" t="s">
        <v>10</v>
      </c>
      <c r="F67" s="33">
        <v>37.5</v>
      </c>
      <c r="G67" s="33">
        <f t="shared" si="0"/>
        <v>7.5</v>
      </c>
      <c r="H67" s="33">
        <f>IF(tbl_FichaTecnica[[#This Row],[ID]]="", "", SUMIF(tbl_FichaTecnica[ID], tbl_FichaTecnica[[#This Row],[ID]], tbl_FichaTecnica[Custo Parcial]))</f>
        <v>14.301400000000001</v>
      </c>
    </row>
    <row r="68" spans="1:8" ht="16.5" x14ac:dyDescent="0.25">
      <c r="A68" s="43">
        <v>13</v>
      </c>
      <c r="B68" s="33" t="str">
        <f>IF(A68="", "", VLOOKUP(A68, tbl_Pizzas[[ID]:[Nome]], 2, FALSE))</f>
        <v>Chocolate com Canela</v>
      </c>
      <c r="C68" s="36" t="s">
        <v>79</v>
      </c>
      <c r="D68" s="111">
        <v>0.01</v>
      </c>
      <c r="E68" s="36" t="s">
        <v>10</v>
      </c>
      <c r="F68" s="36">
        <v>0.14000000000000001</v>
      </c>
      <c r="G68" s="36">
        <f t="shared" si="0"/>
        <v>1.4000000000000002E-3</v>
      </c>
      <c r="H68" s="33">
        <f>IF(tbl_FichaTecnica[[#This Row],[ID]]="", "", SUMIF(tbl_FichaTecnica[ID], tbl_FichaTecnica[[#This Row],[ID]], tbl_FichaTecnica[Custo Parcial]))</f>
        <v>14.301400000000001</v>
      </c>
    </row>
    <row r="69" spans="1:8" ht="16.5" x14ac:dyDescent="0.25">
      <c r="A69" s="42"/>
      <c r="B69" s="33" t="str">
        <f>IF(A69="", "", VLOOKUP(A69, tbl_Pizzas[[ID]:[Nome]], 2, FALSE))</f>
        <v/>
      </c>
      <c r="C69" s="33"/>
      <c r="D69" s="112"/>
      <c r="E69" s="33"/>
      <c r="F69" s="33" t="s">
        <v>337</v>
      </c>
      <c r="G69" s="33" t="str">
        <f t="shared" si="0"/>
        <v/>
      </c>
      <c r="H69" s="33" t="str">
        <f>IF(tbl_FichaTecnica[[#This Row],[ID]]="", "", SUMIF(tbl_FichaTecnica[ID], tbl_FichaTecnica[[#This Row],[ID]], tbl_FichaTecnica[Custo Parcial]))</f>
        <v/>
      </c>
    </row>
    <row r="70" spans="1:8" ht="16.5" x14ac:dyDescent="0.25">
      <c r="A70" s="42">
        <v>14</v>
      </c>
      <c r="B70" s="33" t="str">
        <f>IF(A70="", "", VLOOKUP(A70, tbl_Pizzas[[ID]:[Nome]], 2, FALSE))</f>
        <v>Calabresa com Bacon</v>
      </c>
      <c r="C70" s="33" t="s">
        <v>9</v>
      </c>
      <c r="D70" s="112">
        <v>1</v>
      </c>
      <c r="E70" s="33" t="s">
        <v>14</v>
      </c>
      <c r="F70" s="33">
        <v>6.8</v>
      </c>
      <c r="G70" s="33">
        <f t="shared" ref="G70:G133" si="1">IF(D70="", "", D70 * F70)</f>
        <v>6.8</v>
      </c>
      <c r="H70" s="33">
        <f>IF(tbl_FichaTecnica[[#This Row],[ID]]="", "", SUMIF(tbl_FichaTecnica[ID], tbl_FichaTecnica[[#This Row],[ID]], tbl_FichaTecnica[Custo Parcial]))</f>
        <v>29.494</v>
      </c>
    </row>
    <row r="71" spans="1:8" ht="16.5" x14ac:dyDescent="0.25">
      <c r="A71" s="43">
        <v>14</v>
      </c>
      <c r="B71" s="33" t="str">
        <f>IF(A71="", "", VLOOKUP(A71, tbl_Pizzas[[ID]:[Nome]], 2, FALSE))</f>
        <v>Calabresa com Bacon</v>
      </c>
      <c r="C71" s="36" t="s">
        <v>15</v>
      </c>
      <c r="D71" s="111">
        <v>0.15</v>
      </c>
      <c r="E71" s="36" t="s">
        <v>12</v>
      </c>
      <c r="F71" s="36">
        <v>13.9</v>
      </c>
      <c r="G71" s="36">
        <f t="shared" si="1"/>
        <v>2.085</v>
      </c>
      <c r="H71" s="33">
        <f>IF(tbl_FichaTecnica[[#This Row],[ID]]="", "", SUMIF(tbl_FichaTecnica[ID], tbl_FichaTecnica[[#This Row],[ID]], tbl_FichaTecnica[Custo Parcial]))</f>
        <v>29.494</v>
      </c>
    </row>
    <row r="72" spans="1:8" ht="16.5" x14ac:dyDescent="0.25">
      <c r="A72" s="42">
        <v>14</v>
      </c>
      <c r="B72" s="33" t="str">
        <f>IF(A72="", "", VLOOKUP(A72, tbl_Pizzas[[ID]:[Nome]], 2, FALSE))</f>
        <v>Calabresa com Bacon</v>
      </c>
      <c r="C72" s="33" t="s">
        <v>17</v>
      </c>
      <c r="D72" s="112">
        <v>0.23</v>
      </c>
      <c r="E72" s="33" t="s">
        <v>10</v>
      </c>
      <c r="F72" s="33">
        <v>43.5</v>
      </c>
      <c r="G72" s="33">
        <f t="shared" si="1"/>
        <v>10.005000000000001</v>
      </c>
      <c r="H72" s="33">
        <f>IF(tbl_FichaTecnica[[#This Row],[ID]]="", "", SUMIF(tbl_FichaTecnica[ID], tbl_FichaTecnica[[#This Row],[ID]], tbl_FichaTecnica[Custo Parcial]))</f>
        <v>29.494</v>
      </c>
    </row>
    <row r="73" spans="1:8" ht="16.5" x14ac:dyDescent="0.25">
      <c r="A73" s="43">
        <v>14</v>
      </c>
      <c r="B73" s="33" t="str">
        <f>IF(A73="", "", VLOOKUP(A73, tbl_Pizzas[[ID]:[Nome]], 2, FALSE))</f>
        <v>Calabresa com Bacon</v>
      </c>
      <c r="C73" s="36" t="s">
        <v>22</v>
      </c>
      <c r="D73" s="111">
        <v>0.12</v>
      </c>
      <c r="E73" s="36" t="s">
        <v>10</v>
      </c>
      <c r="F73" s="36">
        <v>49</v>
      </c>
      <c r="G73" s="36">
        <f t="shared" si="1"/>
        <v>5.88</v>
      </c>
      <c r="H73" s="33">
        <f>IF(tbl_FichaTecnica[[#This Row],[ID]]="", "", SUMIF(tbl_FichaTecnica[ID], tbl_FichaTecnica[[#This Row],[ID]], tbl_FichaTecnica[Custo Parcial]))</f>
        <v>29.494</v>
      </c>
    </row>
    <row r="74" spans="1:8" ht="16.5" x14ac:dyDescent="0.25">
      <c r="A74" s="42">
        <v>14</v>
      </c>
      <c r="B74" s="33" t="str">
        <f>IF(A74="", "", VLOOKUP(A74, tbl_Pizzas[[ID]:[Nome]], 2, FALSE))</f>
        <v>Calabresa com Bacon</v>
      </c>
      <c r="C74" s="33" t="s">
        <v>67</v>
      </c>
      <c r="D74" s="112">
        <v>0.1</v>
      </c>
      <c r="E74" s="33" t="s">
        <v>10</v>
      </c>
      <c r="F74" s="33">
        <v>41</v>
      </c>
      <c r="G74" s="33">
        <f t="shared" si="1"/>
        <v>4.1000000000000005</v>
      </c>
      <c r="H74" s="33">
        <f>IF(tbl_FichaTecnica[[#This Row],[ID]]="", "", SUMIF(tbl_FichaTecnica[ID], tbl_FichaTecnica[[#This Row],[ID]], tbl_FichaTecnica[Custo Parcial]))</f>
        <v>29.494</v>
      </c>
    </row>
    <row r="75" spans="1:8" ht="16.5" x14ac:dyDescent="0.25">
      <c r="A75" s="42">
        <v>14</v>
      </c>
      <c r="B75" s="33" t="str">
        <f>IF(A75="", "", VLOOKUP(A75, tbl_Pizzas[[ID]:[Nome]], 2, FALSE))</f>
        <v>Calabresa com Bacon</v>
      </c>
      <c r="C75" s="33" t="s">
        <v>23</v>
      </c>
      <c r="D75" s="112">
        <v>0.08</v>
      </c>
      <c r="E75" s="33" t="s">
        <v>10</v>
      </c>
      <c r="F75" s="33">
        <v>7.8</v>
      </c>
      <c r="G75" s="33">
        <f t="shared" si="1"/>
        <v>0.624</v>
      </c>
      <c r="H75" s="33">
        <f>IF(tbl_FichaTecnica[[#This Row],[ID]]="", "", SUMIF(tbl_FichaTecnica[ID], tbl_FichaTecnica[[#This Row],[ID]], tbl_FichaTecnica[Custo Parcial]))</f>
        <v>29.494</v>
      </c>
    </row>
    <row r="76" spans="1:8" ht="16.5" x14ac:dyDescent="0.25">
      <c r="A76" s="43"/>
      <c r="B76" s="33" t="str">
        <f>IF(A76="", "", VLOOKUP(A76, tbl_Pizzas[[ID]:[Nome]], 2, FALSE))</f>
        <v/>
      </c>
      <c r="C76" s="36"/>
      <c r="D76" s="111"/>
      <c r="E76" s="36"/>
      <c r="F76" s="36" t="s">
        <v>337</v>
      </c>
      <c r="G76" s="36" t="str">
        <f t="shared" si="1"/>
        <v/>
      </c>
      <c r="H76" s="33" t="str">
        <f>IF(tbl_FichaTecnica[[#This Row],[ID]]="", "", SUMIF(tbl_FichaTecnica[ID], tbl_FichaTecnica[[#This Row],[ID]], tbl_FichaTecnica[Custo Parcial]))</f>
        <v/>
      </c>
    </row>
    <row r="77" spans="1:8" ht="16.5" x14ac:dyDescent="0.25">
      <c r="A77" s="42">
        <v>15</v>
      </c>
      <c r="B77" s="33" t="str">
        <f>IF(A77="", "", VLOOKUP(A77, tbl_Pizzas[[ID]:[Nome]], 2, FALSE))</f>
        <v>Vegetariana</v>
      </c>
      <c r="C77" s="33" t="s">
        <v>9</v>
      </c>
      <c r="D77" s="112">
        <v>1</v>
      </c>
      <c r="E77" s="33" t="s">
        <v>14</v>
      </c>
      <c r="F77" s="33">
        <v>6.8</v>
      </c>
      <c r="G77" s="33">
        <f t="shared" si="1"/>
        <v>6.8</v>
      </c>
      <c r="H77" s="33">
        <f>IF(tbl_FichaTecnica[[#This Row],[ID]]="", "", SUMIF(tbl_FichaTecnica[ID], tbl_FichaTecnica[[#This Row],[ID]], tbl_FichaTecnica[Custo Parcial]))</f>
        <v>21.023</v>
      </c>
    </row>
    <row r="78" spans="1:8" ht="16.5" x14ac:dyDescent="0.25">
      <c r="A78" s="43">
        <v>15</v>
      </c>
      <c r="B78" s="33" t="str">
        <f>IF(A78="", "", VLOOKUP(A78, tbl_Pizzas[[ID]:[Nome]], 2, FALSE))</f>
        <v>Vegetariana</v>
      </c>
      <c r="C78" s="36" t="s">
        <v>15</v>
      </c>
      <c r="D78" s="111">
        <v>0.15</v>
      </c>
      <c r="E78" s="36" t="s">
        <v>12</v>
      </c>
      <c r="F78" s="36">
        <v>13.9</v>
      </c>
      <c r="G78" s="36">
        <f t="shared" si="1"/>
        <v>2.085</v>
      </c>
      <c r="H78" s="33">
        <f>IF(tbl_FichaTecnica[[#This Row],[ID]]="", "", SUMIF(tbl_FichaTecnica[ID], tbl_FichaTecnica[[#This Row],[ID]], tbl_FichaTecnica[Custo Parcial]))</f>
        <v>21.023</v>
      </c>
    </row>
    <row r="79" spans="1:8" ht="16.5" x14ac:dyDescent="0.25">
      <c r="A79" s="42">
        <v>15</v>
      </c>
      <c r="B79" s="33" t="str">
        <f>IF(A79="", "", VLOOKUP(A79, tbl_Pizzas[[ID]:[Nome]], 2, FALSE))</f>
        <v>Vegetariana</v>
      </c>
      <c r="C79" s="33" t="s">
        <v>17</v>
      </c>
      <c r="D79" s="112">
        <v>0.2</v>
      </c>
      <c r="E79" s="33" t="s">
        <v>10</v>
      </c>
      <c r="F79" s="33">
        <v>43.5</v>
      </c>
      <c r="G79" s="33">
        <f t="shared" si="1"/>
        <v>8.7000000000000011</v>
      </c>
      <c r="H79" s="33">
        <f>IF(tbl_FichaTecnica[[#This Row],[ID]]="", "", SUMIF(tbl_FichaTecnica[ID], tbl_FichaTecnica[[#This Row],[ID]], tbl_FichaTecnica[Custo Parcial]))</f>
        <v>21.023</v>
      </c>
    </row>
    <row r="80" spans="1:8" ht="16.5" x14ac:dyDescent="0.25">
      <c r="A80" s="42">
        <v>15</v>
      </c>
      <c r="B80" s="33" t="str">
        <f>IF(A80="", "", VLOOKUP(A80, tbl_Pizzas[[ID]:[Nome]], 2, FALSE))</f>
        <v>Vegetariana</v>
      </c>
      <c r="C80" s="33" t="s">
        <v>25</v>
      </c>
      <c r="D80" s="112">
        <v>0.1</v>
      </c>
      <c r="E80" s="33" t="s">
        <v>10</v>
      </c>
      <c r="F80" s="33">
        <v>8.5</v>
      </c>
      <c r="G80" s="33">
        <f t="shared" si="1"/>
        <v>0.85000000000000009</v>
      </c>
      <c r="H80" s="33">
        <f>IF(tbl_FichaTecnica[[#This Row],[ID]]="", "", SUMIF(tbl_FichaTecnica[ID], tbl_FichaTecnica[[#This Row],[ID]], tbl_FichaTecnica[Custo Parcial]))</f>
        <v>21.023</v>
      </c>
    </row>
    <row r="81" spans="1:8" ht="16.5" x14ac:dyDescent="0.25">
      <c r="A81" s="43">
        <v>15</v>
      </c>
      <c r="B81" s="33" t="str">
        <f>IF(A81="", "", VLOOKUP(A81, tbl_Pizzas[[ID]:[Nome]], 2, FALSE))</f>
        <v>Vegetariana</v>
      </c>
      <c r="C81" s="36" t="s">
        <v>23</v>
      </c>
      <c r="D81" s="111">
        <v>0.08</v>
      </c>
      <c r="E81" s="36" t="s">
        <v>10</v>
      </c>
      <c r="F81" s="36">
        <v>7.8</v>
      </c>
      <c r="G81" s="36">
        <f t="shared" si="1"/>
        <v>0.624</v>
      </c>
      <c r="H81" s="33">
        <f>IF(tbl_FichaTecnica[[#This Row],[ID]]="", "", SUMIF(tbl_FichaTecnica[ID], tbl_FichaTecnica[[#This Row],[ID]], tbl_FichaTecnica[Custo Parcial]))</f>
        <v>21.023</v>
      </c>
    </row>
    <row r="82" spans="1:8" ht="16.5" x14ac:dyDescent="0.25">
      <c r="A82" s="42">
        <v>15</v>
      </c>
      <c r="B82" s="33" t="str">
        <f>IF(A82="", "", VLOOKUP(A82, tbl_Pizzas[[ID]:[Nome]], 2, FALSE))</f>
        <v>Vegetariana</v>
      </c>
      <c r="C82" s="33" t="s">
        <v>71</v>
      </c>
      <c r="D82" s="112">
        <v>7.0000000000000007E-2</v>
      </c>
      <c r="E82" s="33" t="s">
        <v>10</v>
      </c>
      <c r="F82" s="33">
        <v>10.199999999999999</v>
      </c>
      <c r="G82" s="33">
        <f t="shared" si="1"/>
        <v>0.71399999999999997</v>
      </c>
      <c r="H82" s="33">
        <f>IF(tbl_FichaTecnica[[#This Row],[ID]]="", "", SUMIF(tbl_FichaTecnica[ID], tbl_FichaTecnica[[#This Row],[ID]], tbl_FichaTecnica[Custo Parcial]))</f>
        <v>21.023</v>
      </c>
    </row>
    <row r="83" spans="1:8" ht="16.5" x14ac:dyDescent="0.25">
      <c r="A83" s="43">
        <v>15</v>
      </c>
      <c r="B83" s="33" t="str">
        <f>IF(A83="", "", VLOOKUP(A83, tbl_Pizzas[[ID]:[Nome]], 2, FALSE))</f>
        <v>Vegetariana</v>
      </c>
      <c r="C83" s="36" t="s">
        <v>28</v>
      </c>
      <c r="D83" s="111">
        <v>0.05</v>
      </c>
      <c r="E83" s="36" t="s">
        <v>10</v>
      </c>
      <c r="F83" s="36">
        <v>25</v>
      </c>
      <c r="G83" s="36">
        <f t="shared" si="1"/>
        <v>1.25</v>
      </c>
      <c r="H83" s="33">
        <f>IF(tbl_FichaTecnica[[#This Row],[ID]]="", "", SUMIF(tbl_FichaTecnica[ID], tbl_FichaTecnica[[#This Row],[ID]], tbl_FichaTecnica[Custo Parcial]))</f>
        <v>21.023</v>
      </c>
    </row>
    <row r="84" spans="1:8" ht="16.5" x14ac:dyDescent="0.25">
      <c r="A84" s="42"/>
      <c r="B84" s="33" t="str">
        <f>IF(A84="", "", VLOOKUP(A84, tbl_Pizzas[[ID]:[Nome]], 2, FALSE))</f>
        <v/>
      </c>
      <c r="C84" s="33"/>
      <c r="D84" s="112"/>
      <c r="E84" s="33"/>
      <c r="F84" s="33" t="s">
        <v>337</v>
      </c>
      <c r="G84" s="33" t="str">
        <f t="shared" si="1"/>
        <v/>
      </c>
      <c r="H84" s="33" t="str">
        <f>IF(tbl_FichaTecnica[[#This Row],[ID]]="", "", SUMIF(tbl_FichaTecnica[ID], tbl_FichaTecnica[[#This Row],[ID]], tbl_FichaTecnica[Custo Parcial]))</f>
        <v/>
      </c>
    </row>
    <row r="85" spans="1:8" ht="16.5" x14ac:dyDescent="0.25">
      <c r="A85" s="42">
        <v>16</v>
      </c>
      <c r="B85" s="33" t="str">
        <f>IF(A85="", "", VLOOKUP(A85, tbl_Pizzas[[ID]:[Nome]], 2, FALSE))</f>
        <v>Havaiana</v>
      </c>
      <c r="C85" s="33" t="s">
        <v>9</v>
      </c>
      <c r="D85" s="112">
        <v>1</v>
      </c>
      <c r="E85" s="33" t="s">
        <v>14</v>
      </c>
      <c r="F85" s="33">
        <v>6.8</v>
      </c>
      <c r="G85" s="33">
        <f t="shared" si="1"/>
        <v>6.8</v>
      </c>
      <c r="H85" s="33">
        <f>IF(tbl_FichaTecnica[[#This Row],[ID]]="", "", SUMIF(tbl_FichaTecnica[ID], tbl_FichaTecnica[[#This Row],[ID]], tbl_FichaTecnica[Custo Parcial]))</f>
        <v>23.844999999999995</v>
      </c>
    </row>
    <row r="86" spans="1:8" ht="16.5" x14ac:dyDescent="0.25">
      <c r="A86" s="43">
        <v>16</v>
      </c>
      <c r="B86" s="33" t="str">
        <f>IF(A86="", "", VLOOKUP(A86, tbl_Pizzas[[ID]:[Nome]], 2, FALSE))</f>
        <v>Havaiana</v>
      </c>
      <c r="C86" s="36" t="s">
        <v>15</v>
      </c>
      <c r="D86" s="111">
        <v>0.15</v>
      </c>
      <c r="E86" s="36" t="s">
        <v>12</v>
      </c>
      <c r="F86" s="36">
        <v>13.9</v>
      </c>
      <c r="G86" s="36">
        <f t="shared" si="1"/>
        <v>2.085</v>
      </c>
      <c r="H86" s="33">
        <f>IF(tbl_FichaTecnica[[#This Row],[ID]]="", "", SUMIF(tbl_FichaTecnica[ID], tbl_FichaTecnica[[#This Row],[ID]], tbl_FichaTecnica[Custo Parcial]))</f>
        <v>23.844999999999995</v>
      </c>
    </row>
    <row r="87" spans="1:8" ht="16.5" x14ac:dyDescent="0.25">
      <c r="A87" s="42">
        <v>16</v>
      </c>
      <c r="B87" s="33" t="str">
        <f>IF(A87="", "", VLOOKUP(A87, tbl_Pizzas[[ID]:[Nome]], 2, FALSE))</f>
        <v>Havaiana</v>
      </c>
      <c r="C87" s="33" t="s">
        <v>17</v>
      </c>
      <c r="D87" s="112">
        <v>0.22</v>
      </c>
      <c r="E87" s="33" t="s">
        <v>10</v>
      </c>
      <c r="F87" s="33">
        <v>43.5</v>
      </c>
      <c r="G87" s="33">
        <f t="shared" si="1"/>
        <v>9.57</v>
      </c>
      <c r="H87" s="33">
        <f>IF(tbl_FichaTecnica[[#This Row],[ID]]="", "", SUMIF(tbl_FichaTecnica[ID], tbl_FichaTecnica[[#This Row],[ID]], tbl_FichaTecnica[Custo Parcial]))</f>
        <v>23.844999999999995</v>
      </c>
    </row>
    <row r="88" spans="1:8" ht="16.5" x14ac:dyDescent="0.25">
      <c r="A88" s="43">
        <v>16</v>
      </c>
      <c r="B88" s="33" t="str">
        <f>IF(A88="", "", VLOOKUP(A88, tbl_Pizzas[[ID]:[Nome]], 2, FALSE))</f>
        <v>Havaiana</v>
      </c>
      <c r="C88" s="36" t="s">
        <v>20</v>
      </c>
      <c r="D88" s="111">
        <v>0.1</v>
      </c>
      <c r="E88" s="36" t="s">
        <v>10</v>
      </c>
      <c r="F88" s="36">
        <v>36.5</v>
      </c>
      <c r="G88" s="36">
        <f t="shared" si="1"/>
        <v>3.6500000000000004</v>
      </c>
      <c r="H88" s="33">
        <f>IF(tbl_FichaTecnica[[#This Row],[ID]]="", "", SUMIF(tbl_FichaTecnica[ID], tbl_FichaTecnica[[#This Row],[ID]], tbl_FichaTecnica[Custo Parcial]))</f>
        <v>23.844999999999995</v>
      </c>
    </row>
    <row r="89" spans="1:8" ht="16.5" x14ac:dyDescent="0.25">
      <c r="A89" s="42">
        <v>16</v>
      </c>
      <c r="B89" s="33" t="str">
        <f>IF(A89="", "", VLOOKUP(A89, tbl_Pizzas[[ID]:[Nome]], 2, FALSE))</f>
        <v>Havaiana</v>
      </c>
      <c r="C89" s="33" t="s">
        <v>72</v>
      </c>
      <c r="D89" s="112">
        <v>0.12</v>
      </c>
      <c r="E89" s="33" t="s">
        <v>10</v>
      </c>
      <c r="F89" s="33">
        <v>14.5</v>
      </c>
      <c r="G89" s="33">
        <f t="shared" si="1"/>
        <v>1.74</v>
      </c>
      <c r="H89" s="33">
        <f>IF(tbl_FichaTecnica[[#This Row],[ID]]="", "", SUMIF(tbl_FichaTecnica[ID], tbl_FichaTecnica[[#This Row],[ID]], tbl_FichaTecnica[Custo Parcial]))</f>
        <v>23.844999999999995</v>
      </c>
    </row>
    <row r="90" spans="1:8" ht="16.5" x14ac:dyDescent="0.25">
      <c r="A90" s="42"/>
      <c r="B90" s="33" t="str">
        <f>IF(A90="", "", VLOOKUP(A90, tbl_Pizzas[[ID]:[Nome]], 2, FALSE))</f>
        <v/>
      </c>
      <c r="C90" s="33"/>
      <c r="D90" s="112"/>
      <c r="E90" s="33"/>
      <c r="F90" s="33" t="s">
        <v>337</v>
      </c>
      <c r="G90" s="33" t="str">
        <f t="shared" si="1"/>
        <v/>
      </c>
      <c r="H90" s="33" t="str">
        <f>IF(tbl_FichaTecnica[[#This Row],[ID]]="", "", SUMIF(tbl_FichaTecnica[ID], tbl_FichaTecnica[[#This Row],[ID]], tbl_FichaTecnica[Custo Parcial]))</f>
        <v/>
      </c>
    </row>
    <row r="91" spans="1:8" ht="16.5" x14ac:dyDescent="0.25">
      <c r="A91" s="43">
        <v>17</v>
      </c>
      <c r="B91" s="33" t="str">
        <f>IF(A91="", "", VLOOKUP(A91, tbl_Pizzas[[ID]:[Nome]], 2, FALSE))</f>
        <v>Mussarela Extra</v>
      </c>
      <c r="C91" s="36" t="s">
        <v>9</v>
      </c>
      <c r="D91" s="111">
        <v>1</v>
      </c>
      <c r="E91" s="36" t="s">
        <v>14</v>
      </c>
      <c r="F91" s="36">
        <v>6.8</v>
      </c>
      <c r="G91" s="36">
        <f t="shared" si="1"/>
        <v>6.8</v>
      </c>
      <c r="H91" s="33">
        <f>IF(tbl_FichaTecnica[[#This Row],[ID]]="", "", SUMIF(tbl_FichaTecnica[ID], tbl_FichaTecnica[[#This Row],[ID]], tbl_FichaTecnica[Custo Parcial]))</f>
        <v>22.046100000000003</v>
      </c>
    </row>
    <row r="92" spans="1:8" ht="16.5" x14ac:dyDescent="0.25">
      <c r="A92" s="42">
        <v>17</v>
      </c>
      <c r="B92" s="33" t="str">
        <f>IF(A92="", "", VLOOKUP(A92, tbl_Pizzas[[ID]:[Nome]], 2, FALSE))</f>
        <v>Mussarela Extra</v>
      </c>
      <c r="C92" s="33" t="s">
        <v>15</v>
      </c>
      <c r="D92" s="112">
        <v>0.15</v>
      </c>
      <c r="E92" s="33" t="s">
        <v>12</v>
      </c>
      <c r="F92" s="33">
        <v>13.9</v>
      </c>
      <c r="G92" s="33">
        <f t="shared" si="1"/>
        <v>2.085</v>
      </c>
      <c r="H92" s="33">
        <f>IF(tbl_FichaTecnica[[#This Row],[ID]]="", "", SUMIF(tbl_FichaTecnica[ID], tbl_FichaTecnica[[#This Row],[ID]], tbl_FichaTecnica[Custo Parcial]))</f>
        <v>22.046100000000003</v>
      </c>
    </row>
    <row r="93" spans="1:8" ht="16.5" x14ac:dyDescent="0.25">
      <c r="A93" s="43">
        <v>17</v>
      </c>
      <c r="B93" s="33" t="str">
        <f>IF(A93="", "", VLOOKUP(A93, tbl_Pizzas[[ID]:[Nome]], 2, FALSE))</f>
        <v>Mussarela Extra</v>
      </c>
      <c r="C93" s="36" t="s">
        <v>61</v>
      </c>
      <c r="D93" s="111">
        <v>0.28000000000000003</v>
      </c>
      <c r="E93" s="36" t="s">
        <v>10</v>
      </c>
      <c r="F93" s="36">
        <v>47</v>
      </c>
      <c r="G93" s="36">
        <f t="shared" si="1"/>
        <v>13.160000000000002</v>
      </c>
      <c r="H93" s="33">
        <f>IF(tbl_FichaTecnica[[#This Row],[ID]]="", "", SUMIF(tbl_FichaTecnica[ID], tbl_FichaTecnica[[#This Row],[ID]], tbl_FichaTecnica[Custo Parcial]))</f>
        <v>22.046100000000003</v>
      </c>
    </row>
    <row r="94" spans="1:8" ht="16.5" x14ac:dyDescent="0.25">
      <c r="A94" s="42">
        <v>17</v>
      </c>
      <c r="B94" s="33" t="str">
        <f>IF(A94="", "", VLOOKUP(A94, tbl_Pizzas[[ID]:[Nome]], 2, FALSE))</f>
        <v>Mussarela Extra</v>
      </c>
      <c r="C94" s="33" t="s">
        <v>26</v>
      </c>
      <c r="D94" s="112">
        <v>5.0000000000000001E-3</v>
      </c>
      <c r="E94" s="33" t="s">
        <v>8</v>
      </c>
      <c r="F94" s="33">
        <v>0.22</v>
      </c>
      <c r="G94" s="33">
        <f t="shared" si="1"/>
        <v>1.1000000000000001E-3</v>
      </c>
      <c r="H94" s="33">
        <f>IF(tbl_FichaTecnica[[#This Row],[ID]]="", "", SUMIF(tbl_FichaTecnica[ID], tbl_FichaTecnica[[#This Row],[ID]], tbl_FichaTecnica[Custo Parcial]))</f>
        <v>22.046100000000003</v>
      </c>
    </row>
    <row r="95" spans="1:8" ht="16.5" x14ac:dyDescent="0.25">
      <c r="A95" s="42"/>
      <c r="B95" s="33" t="str">
        <f>IF(A95="", "", VLOOKUP(A95, tbl_Pizzas[[ID]:[Nome]], 2, FALSE))</f>
        <v/>
      </c>
      <c r="C95" s="33"/>
      <c r="D95" s="112"/>
      <c r="E95" s="33"/>
      <c r="F95" s="33" t="s">
        <v>337</v>
      </c>
      <c r="G95" s="33" t="str">
        <f t="shared" si="1"/>
        <v/>
      </c>
      <c r="H95" s="33" t="str">
        <f>IF(tbl_FichaTecnica[[#This Row],[ID]]="", "", SUMIF(tbl_FichaTecnica[ID], tbl_FichaTecnica[[#This Row],[ID]], tbl_FichaTecnica[Custo Parcial]))</f>
        <v/>
      </c>
    </row>
    <row r="96" spans="1:8" ht="16.5" x14ac:dyDescent="0.25">
      <c r="A96" s="43">
        <v>18</v>
      </c>
      <c r="B96" s="33" t="str">
        <f>IF(A96="", "", VLOOKUP(A96, tbl_Pizzas[[ID]:[Nome]], 2, FALSE))</f>
        <v>Presunto Parma</v>
      </c>
      <c r="C96" s="36" t="s">
        <v>9</v>
      </c>
      <c r="D96" s="111">
        <v>1</v>
      </c>
      <c r="E96" s="36" t="s">
        <v>14</v>
      </c>
      <c r="F96" s="36">
        <v>6.8</v>
      </c>
      <c r="G96" s="36">
        <f t="shared" si="1"/>
        <v>6.8</v>
      </c>
      <c r="H96" s="33">
        <f>IF(tbl_FichaTecnica[[#This Row],[ID]]="", "", SUMIF(tbl_FichaTecnica[ID], tbl_FichaTecnica[[#This Row],[ID]], tbl_FichaTecnica[Custo Parcial]))</f>
        <v>27.095879999999998</v>
      </c>
    </row>
    <row r="97" spans="1:8" ht="16.5" x14ac:dyDescent="0.25">
      <c r="A97" s="42">
        <v>18</v>
      </c>
      <c r="B97" s="33" t="str">
        <f>IF(A97="", "", VLOOKUP(A97, tbl_Pizzas[[ID]:[Nome]], 2, FALSE))</f>
        <v>Presunto Parma</v>
      </c>
      <c r="C97" s="33" t="s">
        <v>15</v>
      </c>
      <c r="D97" s="112">
        <v>0.15</v>
      </c>
      <c r="E97" s="33" t="s">
        <v>12</v>
      </c>
      <c r="F97" s="33">
        <v>13.9</v>
      </c>
      <c r="G97" s="33">
        <f t="shared" si="1"/>
        <v>2.085</v>
      </c>
      <c r="H97" s="33">
        <f>IF(tbl_FichaTecnica[[#This Row],[ID]]="", "", SUMIF(tbl_FichaTecnica[ID], tbl_FichaTecnica[[#This Row],[ID]], tbl_FichaTecnica[Custo Parcial]))</f>
        <v>27.095879999999998</v>
      </c>
    </row>
    <row r="98" spans="1:8" ht="16.5" x14ac:dyDescent="0.25">
      <c r="A98" s="43">
        <v>18</v>
      </c>
      <c r="B98" s="33" t="str">
        <f>IF(A98="", "", VLOOKUP(A98, tbl_Pizzas[[ID]:[Nome]], 2, FALSE))</f>
        <v>Presunto Parma</v>
      </c>
      <c r="C98" s="36" t="s">
        <v>17</v>
      </c>
      <c r="D98" s="111">
        <v>0.22</v>
      </c>
      <c r="E98" s="36" t="s">
        <v>10</v>
      </c>
      <c r="F98" s="36">
        <v>43.5</v>
      </c>
      <c r="G98" s="36">
        <f t="shared" si="1"/>
        <v>9.57</v>
      </c>
      <c r="H98" s="33">
        <f>IF(tbl_FichaTecnica[[#This Row],[ID]]="", "", SUMIF(tbl_FichaTecnica[ID], tbl_FichaTecnica[[#This Row],[ID]], tbl_FichaTecnica[Custo Parcial]))</f>
        <v>27.095879999999998</v>
      </c>
    </row>
    <row r="99" spans="1:8" ht="16.5" x14ac:dyDescent="0.25">
      <c r="A99" s="42">
        <v>18</v>
      </c>
      <c r="B99" s="33" t="str">
        <f>IF(A99="", "", VLOOKUP(A99, tbl_Pizzas[[ID]:[Nome]], 2, FALSE))</f>
        <v>Presunto Parma</v>
      </c>
      <c r="C99" s="33" t="s">
        <v>62</v>
      </c>
      <c r="D99" s="112">
        <v>0.12</v>
      </c>
      <c r="E99" s="33" t="s">
        <v>10</v>
      </c>
      <c r="F99" s="33">
        <v>72</v>
      </c>
      <c r="G99" s="33">
        <f t="shared" si="1"/>
        <v>8.64</v>
      </c>
      <c r="H99" s="33">
        <f>IF(tbl_FichaTecnica[[#This Row],[ID]]="", "", SUMIF(tbl_FichaTecnica[ID], tbl_FichaTecnica[[#This Row],[ID]], tbl_FichaTecnica[Custo Parcial]))</f>
        <v>27.095879999999998</v>
      </c>
    </row>
    <row r="100" spans="1:8" ht="16.5" x14ac:dyDescent="0.25">
      <c r="A100" s="42">
        <v>18</v>
      </c>
      <c r="B100" s="33" t="str">
        <f>IF(A100="", "", VLOOKUP(A100, tbl_Pizzas[[ID]:[Nome]], 2, FALSE))</f>
        <v>Presunto Parma</v>
      </c>
      <c r="C100" s="33" t="s">
        <v>26</v>
      </c>
      <c r="D100" s="112">
        <v>4.0000000000000001E-3</v>
      </c>
      <c r="E100" s="33" t="s">
        <v>8</v>
      </c>
      <c r="F100" s="33">
        <v>0.22</v>
      </c>
      <c r="G100" s="33">
        <f t="shared" si="1"/>
        <v>8.8000000000000003E-4</v>
      </c>
      <c r="H100" s="33">
        <f>IF(tbl_FichaTecnica[[#This Row],[ID]]="", "", SUMIF(tbl_FichaTecnica[ID], tbl_FichaTecnica[[#This Row],[ID]], tbl_FichaTecnica[Custo Parcial]))</f>
        <v>27.095879999999998</v>
      </c>
    </row>
    <row r="101" spans="1:8" ht="16.5" x14ac:dyDescent="0.25">
      <c r="A101" s="43"/>
      <c r="B101" s="33" t="str">
        <f>IF(A101="", "", VLOOKUP(A101, tbl_Pizzas[[ID]:[Nome]], 2, FALSE))</f>
        <v/>
      </c>
      <c r="C101" s="36"/>
      <c r="D101" s="111"/>
      <c r="E101" s="36"/>
      <c r="F101" s="36" t="s">
        <v>337</v>
      </c>
      <c r="G101" s="36" t="str">
        <f t="shared" si="1"/>
        <v/>
      </c>
      <c r="H101" s="33" t="str">
        <f>IF(tbl_FichaTecnica[[#This Row],[ID]]="", "", SUMIF(tbl_FichaTecnica[ID], tbl_FichaTecnica[[#This Row],[ID]], tbl_FichaTecnica[Custo Parcial]))</f>
        <v/>
      </c>
    </row>
    <row r="102" spans="1:8" ht="16.5" x14ac:dyDescent="0.25">
      <c r="A102" s="42">
        <v>19</v>
      </c>
      <c r="B102" s="33" t="str">
        <f>IF(A102="", "", VLOOKUP(A102, tbl_Pizzas[[ID]:[Nome]], 2, FALSE))</f>
        <v>Três Queijos</v>
      </c>
      <c r="C102" s="33" t="s">
        <v>9</v>
      </c>
      <c r="D102" s="112">
        <v>1</v>
      </c>
      <c r="E102" s="33" t="s">
        <v>14</v>
      </c>
      <c r="F102" s="33">
        <v>6.8</v>
      </c>
      <c r="G102" s="33">
        <f t="shared" si="1"/>
        <v>6.8</v>
      </c>
      <c r="H102" s="33">
        <f>IF(tbl_FichaTecnica[[#This Row],[ID]]="", "", SUMIF(tbl_FichaTecnica[ID], tbl_FichaTecnica[[#This Row],[ID]], tbl_FichaTecnica[Custo Parcial]))</f>
        <v>28.699999999999996</v>
      </c>
    </row>
    <row r="103" spans="1:8" ht="16.5" x14ac:dyDescent="0.25">
      <c r="A103" s="43">
        <v>19</v>
      </c>
      <c r="B103" s="33" t="str">
        <f>IF(A103="", "", VLOOKUP(A103, tbl_Pizzas[[ID]:[Nome]], 2, FALSE))</f>
        <v>Três Queijos</v>
      </c>
      <c r="C103" s="36" t="s">
        <v>15</v>
      </c>
      <c r="D103" s="111">
        <v>0.15</v>
      </c>
      <c r="E103" s="36" t="s">
        <v>12</v>
      </c>
      <c r="F103" s="36">
        <v>13.9</v>
      </c>
      <c r="G103" s="36">
        <f t="shared" si="1"/>
        <v>2.085</v>
      </c>
      <c r="H103" s="33">
        <f>IF(tbl_FichaTecnica[[#This Row],[ID]]="", "", SUMIF(tbl_FichaTecnica[ID], tbl_FichaTecnica[[#This Row],[ID]], tbl_FichaTecnica[Custo Parcial]))</f>
        <v>28.699999999999996</v>
      </c>
    </row>
    <row r="104" spans="1:8" ht="16.5" x14ac:dyDescent="0.25">
      <c r="A104" s="42">
        <v>19</v>
      </c>
      <c r="B104" s="33" t="str">
        <f>IF(A104="", "", VLOOKUP(A104, tbl_Pizzas[[ID]:[Nome]], 2, FALSE))</f>
        <v>Três Queijos</v>
      </c>
      <c r="C104" s="33" t="s">
        <v>17</v>
      </c>
      <c r="D104" s="112">
        <v>0.25</v>
      </c>
      <c r="E104" s="33" t="s">
        <v>10</v>
      </c>
      <c r="F104" s="33">
        <v>43.5</v>
      </c>
      <c r="G104" s="33">
        <f t="shared" si="1"/>
        <v>10.875</v>
      </c>
      <c r="H104" s="33">
        <f>IF(tbl_FichaTecnica[[#This Row],[ID]]="", "", SUMIF(tbl_FichaTecnica[ID], tbl_FichaTecnica[[#This Row],[ID]], tbl_FichaTecnica[Custo Parcial]))</f>
        <v>28.699999999999996</v>
      </c>
    </row>
    <row r="105" spans="1:8" ht="16.5" x14ac:dyDescent="0.25">
      <c r="A105" s="42">
        <v>19</v>
      </c>
      <c r="B105" s="33" t="str">
        <f>IF(A105="", "", VLOOKUP(A105, tbl_Pizzas[[ID]:[Nome]], 2, FALSE))</f>
        <v>Três Queijos</v>
      </c>
      <c r="C105" s="33" t="s">
        <v>61</v>
      </c>
      <c r="D105" s="112">
        <v>0.1</v>
      </c>
      <c r="E105" s="33" t="s">
        <v>10</v>
      </c>
      <c r="F105" s="33">
        <v>47</v>
      </c>
      <c r="G105" s="33">
        <f t="shared" si="1"/>
        <v>4.7</v>
      </c>
      <c r="H105" s="33">
        <f>IF(tbl_FichaTecnica[[#This Row],[ID]]="", "", SUMIF(tbl_FichaTecnica[ID], tbl_FichaTecnica[[#This Row],[ID]], tbl_FichaTecnica[Custo Parcial]))</f>
        <v>28.699999999999996</v>
      </c>
    </row>
    <row r="106" spans="1:8" ht="16.5" x14ac:dyDescent="0.25">
      <c r="A106" s="43">
        <v>19</v>
      </c>
      <c r="B106" s="33" t="str">
        <f>IF(A106="", "", VLOOKUP(A106, tbl_Pizzas[[ID]:[Nome]], 2, FALSE))</f>
        <v>Três Queijos</v>
      </c>
      <c r="C106" s="36" t="s">
        <v>31</v>
      </c>
      <c r="D106" s="111">
        <v>0.08</v>
      </c>
      <c r="E106" s="36" t="s">
        <v>10</v>
      </c>
      <c r="F106" s="36">
        <v>53</v>
      </c>
      <c r="G106" s="36">
        <f t="shared" si="1"/>
        <v>4.24</v>
      </c>
      <c r="H106" s="33">
        <f>IF(tbl_FichaTecnica[[#This Row],[ID]]="", "", SUMIF(tbl_FichaTecnica[ID], tbl_FichaTecnica[[#This Row],[ID]], tbl_FichaTecnica[Custo Parcial]))</f>
        <v>28.699999999999996</v>
      </c>
    </row>
    <row r="107" spans="1:8" ht="16.5" x14ac:dyDescent="0.25">
      <c r="A107" s="42"/>
      <c r="B107" s="33" t="str">
        <f>IF(A107="", "", VLOOKUP(A107, tbl_Pizzas[[ID]:[Nome]], 2, FALSE))</f>
        <v/>
      </c>
      <c r="C107" s="33"/>
      <c r="D107" s="112"/>
      <c r="E107" s="33"/>
      <c r="F107" s="33" t="s">
        <v>337</v>
      </c>
      <c r="G107" s="33" t="str">
        <f t="shared" si="1"/>
        <v/>
      </c>
      <c r="H107" s="33" t="str">
        <f>IF(tbl_FichaTecnica[[#This Row],[ID]]="", "", SUMIF(tbl_FichaTecnica[ID], tbl_FichaTecnica[[#This Row],[ID]], tbl_FichaTecnica[Custo Parcial]))</f>
        <v/>
      </c>
    </row>
    <row r="108" spans="1:8" ht="16.5" x14ac:dyDescent="0.25">
      <c r="A108" s="43">
        <v>20</v>
      </c>
      <c r="B108" s="33" t="str">
        <f>IF(A108="", "", VLOOKUP(A108, tbl_Pizzas[[ID]:[Nome]], 2, FALSE))</f>
        <v>Doce de Leite com Banana</v>
      </c>
      <c r="C108" s="36" t="s">
        <v>9</v>
      </c>
      <c r="D108" s="111">
        <v>1</v>
      </c>
      <c r="E108" s="36" t="s">
        <v>14</v>
      </c>
      <c r="F108" s="36">
        <v>6.8</v>
      </c>
      <c r="G108" s="36">
        <f t="shared" si="1"/>
        <v>6.8</v>
      </c>
      <c r="H108" s="33">
        <f>IF(tbl_FichaTecnica[[#This Row],[ID]]="", "", SUMIF(tbl_FichaTecnica[ID], tbl_FichaTecnica[[#This Row],[ID]], tbl_FichaTecnica[Custo Parcial]))</f>
        <v>15.765000000000001</v>
      </c>
    </row>
    <row r="109" spans="1:8" ht="16.5" x14ac:dyDescent="0.25">
      <c r="A109" s="42">
        <v>20</v>
      </c>
      <c r="B109" s="33" t="str">
        <f>IF(A109="", "", VLOOKUP(A109, tbl_Pizzas[[ID]:[Nome]], 2, FALSE))</f>
        <v>Doce de Leite com Banana</v>
      </c>
      <c r="C109" s="33" t="s">
        <v>143</v>
      </c>
      <c r="D109" s="112">
        <v>0.18</v>
      </c>
      <c r="E109" s="33" t="s">
        <v>10</v>
      </c>
      <c r="F109" s="33">
        <v>28</v>
      </c>
      <c r="G109" s="33">
        <f t="shared" si="1"/>
        <v>5.04</v>
      </c>
      <c r="H109" s="33">
        <f>IF(tbl_FichaTecnica[[#This Row],[ID]]="", "", SUMIF(tbl_FichaTecnica[ID], tbl_FichaTecnica[[#This Row],[ID]], tbl_FichaTecnica[Custo Parcial]))</f>
        <v>15.765000000000001</v>
      </c>
    </row>
    <row r="110" spans="1:8" ht="16.5" x14ac:dyDescent="0.25">
      <c r="A110" s="42">
        <v>20</v>
      </c>
      <c r="B110" s="33" t="str">
        <f>IF(A110="", "", VLOOKUP(A110, tbl_Pizzas[[ID]:[Nome]], 2, FALSE))</f>
        <v>Doce de Leite com Banana</v>
      </c>
      <c r="C110" s="33" t="s">
        <v>34</v>
      </c>
      <c r="D110" s="112">
        <v>2</v>
      </c>
      <c r="E110" s="33" t="s">
        <v>14</v>
      </c>
      <c r="F110" s="33">
        <v>1.45</v>
      </c>
      <c r="G110" s="33">
        <f t="shared" si="1"/>
        <v>2.9</v>
      </c>
      <c r="H110" s="33">
        <f>IF(tbl_FichaTecnica[[#This Row],[ID]]="", "", SUMIF(tbl_FichaTecnica[ID], tbl_FichaTecnica[[#This Row],[ID]], tbl_FichaTecnica[Custo Parcial]))</f>
        <v>15.765000000000001</v>
      </c>
    </row>
    <row r="111" spans="1:8" ht="16.5" x14ac:dyDescent="0.25">
      <c r="A111" s="43">
        <v>20</v>
      </c>
      <c r="B111" s="33" t="str">
        <f>IF(A111="", "", VLOOKUP(A111, tbl_Pizzas[[ID]:[Nome]], 2, FALSE))</f>
        <v>Doce de Leite com Banana</v>
      </c>
      <c r="C111" s="36" t="s">
        <v>35</v>
      </c>
      <c r="D111" s="111">
        <v>0.05</v>
      </c>
      <c r="E111" s="36" t="s">
        <v>10</v>
      </c>
      <c r="F111" s="36">
        <v>20.5</v>
      </c>
      <c r="G111" s="36">
        <f t="shared" si="1"/>
        <v>1.0250000000000001</v>
      </c>
      <c r="H111" s="33">
        <f>IF(tbl_FichaTecnica[[#This Row],[ID]]="", "", SUMIF(tbl_FichaTecnica[ID], tbl_FichaTecnica[[#This Row],[ID]], tbl_FichaTecnica[Custo Parcial]))</f>
        <v>15.765000000000001</v>
      </c>
    </row>
    <row r="112" spans="1:8" ht="16.5" x14ac:dyDescent="0.25">
      <c r="A112" s="42"/>
      <c r="B112" s="33" t="str">
        <f>IF(A112="", "", VLOOKUP(A112, tbl_Pizzas[[ID]:[Nome]], 2, FALSE))</f>
        <v/>
      </c>
      <c r="C112" s="33"/>
      <c r="D112" s="112"/>
      <c r="E112" s="33"/>
      <c r="F112" s="33" t="s">
        <v>337</v>
      </c>
      <c r="G112" s="33" t="str">
        <f t="shared" si="1"/>
        <v/>
      </c>
      <c r="H112" s="33" t="str">
        <f>IF(tbl_FichaTecnica[[#This Row],[ID]]="", "", SUMIF(tbl_FichaTecnica[ID], tbl_FichaTecnica[[#This Row],[ID]], tbl_FichaTecnica[Custo Parcial]))</f>
        <v/>
      </c>
    </row>
    <row r="113" spans="1:8" ht="16.5" x14ac:dyDescent="0.25">
      <c r="A113" s="43">
        <v>21</v>
      </c>
      <c r="B113" s="33" t="str">
        <f>IF(A113="", "", VLOOKUP(A113, tbl_Pizzas[[ID]:[Nome]], 2, FALSE))</f>
        <v>Margherita Especial</v>
      </c>
      <c r="C113" s="36" t="s">
        <v>9</v>
      </c>
      <c r="D113" s="111">
        <v>1</v>
      </c>
      <c r="E113" s="36" t="s">
        <v>14</v>
      </c>
      <c r="F113" s="36">
        <v>6.8</v>
      </c>
      <c r="G113" s="36">
        <f t="shared" si="1"/>
        <v>6.8</v>
      </c>
      <c r="H113" s="33">
        <f>IF(tbl_FichaTecnica[[#This Row],[ID]]="", "", SUMIF(tbl_FichaTecnica[ID], tbl_FichaTecnica[[#This Row],[ID]], tbl_FichaTecnica[Custo Parcial]))</f>
        <v>21.011099999999999</v>
      </c>
    </row>
    <row r="114" spans="1:8" ht="16.5" x14ac:dyDescent="0.25">
      <c r="A114" s="42">
        <v>21</v>
      </c>
      <c r="B114" s="33" t="str">
        <f>IF(A114="", "", VLOOKUP(A114, tbl_Pizzas[[ID]:[Nome]], 2, FALSE))</f>
        <v>Margherita Especial</v>
      </c>
      <c r="C114" s="33" t="s">
        <v>15</v>
      </c>
      <c r="D114" s="112">
        <v>0.15</v>
      </c>
      <c r="E114" s="33" t="s">
        <v>12</v>
      </c>
      <c r="F114" s="33">
        <v>13.9</v>
      </c>
      <c r="G114" s="33">
        <f t="shared" si="1"/>
        <v>2.085</v>
      </c>
      <c r="H114" s="33">
        <f>IF(tbl_FichaTecnica[[#This Row],[ID]]="", "", SUMIF(tbl_FichaTecnica[ID], tbl_FichaTecnica[[#This Row],[ID]], tbl_FichaTecnica[Custo Parcial]))</f>
        <v>21.011099999999999</v>
      </c>
    </row>
    <row r="115" spans="1:8" ht="16.5" x14ac:dyDescent="0.25">
      <c r="A115" s="42">
        <v>21</v>
      </c>
      <c r="B115" s="33" t="str">
        <f>IF(A115="", "", VLOOKUP(A115, tbl_Pizzas[[ID]:[Nome]], 2, FALSE))</f>
        <v>Margherita Especial</v>
      </c>
      <c r="C115" s="33" t="s">
        <v>17</v>
      </c>
      <c r="D115" s="112">
        <v>0.25</v>
      </c>
      <c r="E115" s="33" t="s">
        <v>10</v>
      </c>
      <c r="F115" s="33">
        <v>43.5</v>
      </c>
      <c r="G115" s="33">
        <f t="shared" si="1"/>
        <v>10.875</v>
      </c>
      <c r="H115" s="33">
        <f>IF(tbl_FichaTecnica[[#This Row],[ID]]="", "", SUMIF(tbl_FichaTecnica[ID], tbl_FichaTecnica[[#This Row],[ID]], tbl_FichaTecnica[Custo Parcial]))</f>
        <v>21.011099999999999</v>
      </c>
    </row>
    <row r="116" spans="1:8" ht="16.5" x14ac:dyDescent="0.25">
      <c r="A116" s="43">
        <v>21</v>
      </c>
      <c r="B116" s="33" t="str">
        <f>IF(A116="", "", VLOOKUP(A116, tbl_Pizzas[[ID]:[Nome]], 2, FALSE))</f>
        <v>Margherita Especial</v>
      </c>
      <c r="C116" s="36" t="s">
        <v>26</v>
      </c>
      <c r="D116" s="111">
        <v>5.0000000000000001E-3</v>
      </c>
      <c r="E116" s="36" t="s">
        <v>8</v>
      </c>
      <c r="F116" s="36">
        <v>0.22</v>
      </c>
      <c r="G116" s="36">
        <f t="shared" si="1"/>
        <v>1.1000000000000001E-3</v>
      </c>
      <c r="H116" s="33">
        <f>IF(tbl_FichaTecnica[[#This Row],[ID]]="", "", SUMIF(tbl_FichaTecnica[ID], tbl_FichaTecnica[[#This Row],[ID]], tbl_FichaTecnica[Custo Parcial]))</f>
        <v>21.011099999999999</v>
      </c>
    </row>
    <row r="117" spans="1:8" ht="16.5" x14ac:dyDescent="0.25">
      <c r="A117" s="42">
        <v>21</v>
      </c>
      <c r="B117" s="33" t="str">
        <f>IF(A117="", "", VLOOKUP(A117, tbl_Pizzas[[ID]:[Nome]], 2, FALSE))</f>
        <v>Margherita Especial</v>
      </c>
      <c r="C117" s="33" t="s">
        <v>28</v>
      </c>
      <c r="D117" s="112">
        <v>0.05</v>
      </c>
      <c r="E117" s="33" t="s">
        <v>10</v>
      </c>
      <c r="F117" s="33">
        <v>25</v>
      </c>
      <c r="G117" s="33">
        <f t="shared" si="1"/>
        <v>1.25</v>
      </c>
      <c r="H117" s="33">
        <f>IF(tbl_FichaTecnica[[#This Row],[ID]]="", "", SUMIF(tbl_FichaTecnica[ID], tbl_FichaTecnica[[#This Row],[ID]], tbl_FichaTecnica[Custo Parcial]))</f>
        <v>21.011099999999999</v>
      </c>
    </row>
    <row r="118" spans="1:8" ht="16.5" x14ac:dyDescent="0.25">
      <c r="A118" s="43"/>
      <c r="B118" s="33" t="str">
        <f>IF(A118="", "", VLOOKUP(A118, tbl_Pizzas[[ID]:[Nome]], 2, FALSE))</f>
        <v/>
      </c>
      <c r="C118" s="36"/>
      <c r="D118" s="111"/>
      <c r="E118" s="36"/>
      <c r="F118" s="36" t="s">
        <v>337</v>
      </c>
      <c r="G118" s="36" t="str">
        <f t="shared" si="1"/>
        <v/>
      </c>
      <c r="H118" s="33" t="str">
        <f>IF(tbl_FichaTecnica[[#This Row],[ID]]="", "", SUMIF(tbl_FichaTecnica[ID], tbl_FichaTecnica[[#This Row],[ID]], tbl_FichaTecnica[Custo Parcial]))</f>
        <v/>
      </c>
    </row>
    <row r="119" spans="1:8" ht="16.5" x14ac:dyDescent="0.25">
      <c r="A119" s="42">
        <v>22</v>
      </c>
      <c r="B119" s="33" t="str">
        <f>IF(A119="", "", VLOOKUP(A119, tbl_Pizzas[[ID]:[Nome]], 2, FALSE))</f>
        <v>Calabresa com Catupiry</v>
      </c>
      <c r="C119" s="33" t="s">
        <v>9</v>
      </c>
      <c r="D119" s="112">
        <v>1</v>
      </c>
      <c r="E119" s="33" t="s">
        <v>14</v>
      </c>
      <c r="F119" s="33">
        <v>6.8</v>
      </c>
      <c r="G119" s="33">
        <f t="shared" si="1"/>
        <v>6.8</v>
      </c>
      <c r="H119" s="33">
        <f>IF(tbl_FichaTecnica[[#This Row],[ID]]="", "", SUMIF(tbl_FichaTecnica[ID], tbl_FichaTecnica[[#This Row],[ID]], tbl_FichaTecnica[Custo Parcial]))</f>
        <v>31.753999999999998</v>
      </c>
    </row>
    <row r="120" spans="1:8" ht="16.5" x14ac:dyDescent="0.25">
      <c r="A120" s="42">
        <v>22</v>
      </c>
      <c r="B120" s="33" t="str">
        <f>IF(A120="", "", VLOOKUP(A120, tbl_Pizzas[[ID]:[Nome]], 2, FALSE))</f>
        <v>Calabresa com Catupiry</v>
      </c>
      <c r="C120" s="33" t="s">
        <v>15</v>
      </c>
      <c r="D120" s="112">
        <v>0.15</v>
      </c>
      <c r="E120" s="33" t="s">
        <v>12</v>
      </c>
      <c r="F120" s="33">
        <v>13.9</v>
      </c>
      <c r="G120" s="33">
        <f t="shared" si="1"/>
        <v>2.085</v>
      </c>
      <c r="H120" s="33">
        <f>IF(tbl_FichaTecnica[[#This Row],[ID]]="", "", SUMIF(tbl_FichaTecnica[ID], tbl_FichaTecnica[[#This Row],[ID]], tbl_FichaTecnica[Custo Parcial]))</f>
        <v>31.753999999999998</v>
      </c>
    </row>
    <row r="121" spans="1:8" ht="16.5" x14ac:dyDescent="0.25">
      <c r="A121" s="43">
        <v>22</v>
      </c>
      <c r="B121" s="33" t="str">
        <f>IF(A121="", "", VLOOKUP(A121, tbl_Pizzas[[ID]:[Nome]], 2, FALSE))</f>
        <v>Calabresa com Catupiry</v>
      </c>
      <c r="C121" s="36" t="s">
        <v>17</v>
      </c>
      <c r="D121" s="111">
        <v>0.23</v>
      </c>
      <c r="E121" s="36" t="s">
        <v>10</v>
      </c>
      <c r="F121" s="36">
        <v>43.5</v>
      </c>
      <c r="G121" s="36">
        <f t="shared" si="1"/>
        <v>10.005000000000001</v>
      </c>
      <c r="H121" s="33">
        <f>IF(tbl_FichaTecnica[[#This Row],[ID]]="", "", SUMIF(tbl_FichaTecnica[ID], tbl_FichaTecnica[[#This Row],[ID]], tbl_FichaTecnica[Custo Parcial]))</f>
        <v>31.753999999999998</v>
      </c>
    </row>
    <row r="122" spans="1:8" ht="16.5" x14ac:dyDescent="0.25">
      <c r="A122" s="42">
        <v>22</v>
      </c>
      <c r="B122" s="33" t="str">
        <f>IF(A122="", "", VLOOKUP(A122, tbl_Pizzas[[ID]:[Nome]], 2, FALSE))</f>
        <v>Calabresa com Catupiry</v>
      </c>
      <c r="C122" s="33" t="s">
        <v>22</v>
      </c>
      <c r="D122" s="112">
        <v>0.12</v>
      </c>
      <c r="E122" s="33" t="s">
        <v>10</v>
      </c>
      <c r="F122" s="33">
        <v>49</v>
      </c>
      <c r="G122" s="33">
        <f t="shared" si="1"/>
        <v>5.88</v>
      </c>
      <c r="H122" s="33">
        <f>IF(tbl_FichaTecnica[[#This Row],[ID]]="", "", SUMIF(tbl_FichaTecnica[ID], tbl_FichaTecnica[[#This Row],[ID]], tbl_FichaTecnica[Custo Parcial]))</f>
        <v>31.753999999999998</v>
      </c>
    </row>
    <row r="123" spans="1:8" ht="16.5" x14ac:dyDescent="0.25">
      <c r="A123" s="43">
        <v>22</v>
      </c>
      <c r="B123" s="33" t="str">
        <f>IF(A123="", "", VLOOKUP(A123, tbl_Pizzas[[ID]:[Nome]], 2, FALSE))</f>
        <v>Calabresa com Catupiry</v>
      </c>
      <c r="C123" s="36" t="s">
        <v>31</v>
      </c>
      <c r="D123" s="111">
        <v>0.12</v>
      </c>
      <c r="E123" s="36" t="s">
        <v>10</v>
      </c>
      <c r="F123" s="36">
        <v>53</v>
      </c>
      <c r="G123" s="36">
        <f t="shared" si="1"/>
        <v>6.3599999999999994</v>
      </c>
      <c r="H123" s="33">
        <f>IF(tbl_FichaTecnica[[#This Row],[ID]]="", "", SUMIF(tbl_FichaTecnica[ID], tbl_FichaTecnica[[#This Row],[ID]], tbl_FichaTecnica[Custo Parcial]))</f>
        <v>31.753999999999998</v>
      </c>
    </row>
    <row r="124" spans="1:8" ht="16.5" x14ac:dyDescent="0.25">
      <c r="A124" s="42">
        <v>22</v>
      </c>
      <c r="B124" s="33" t="str">
        <f>IF(A124="", "", VLOOKUP(A124, tbl_Pizzas[[ID]:[Nome]], 2, FALSE))</f>
        <v>Calabresa com Catupiry</v>
      </c>
      <c r="C124" s="33" t="s">
        <v>23</v>
      </c>
      <c r="D124" s="112">
        <v>0.08</v>
      </c>
      <c r="E124" s="33" t="s">
        <v>10</v>
      </c>
      <c r="F124" s="33">
        <v>7.8</v>
      </c>
      <c r="G124" s="33">
        <f t="shared" si="1"/>
        <v>0.624</v>
      </c>
      <c r="H124" s="33">
        <f>IF(tbl_FichaTecnica[[#This Row],[ID]]="", "", SUMIF(tbl_FichaTecnica[ID], tbl_FichaTecnica[[#This Row],[ID]], tbl_FichaTecnica[Custo Parcial]))</f>
        <v>31.753999999999998</v>
      </c>
    </row>
    <row r="125" spans="1:8" ht="16.5" x14ac:dyDescent="0.25">
      <c r="A125" s="42"/>
      <c r="B125" s="33" t="str">
        <f>IF(A125="", "", VLOOKUP(A125, tbl_Pizzas[[ID]:[Nome]], 2, FALSE))</f>
        <v/>
      </c>
      <c r="C125" s="33"/>
      <c r="D125" s="112"/>
      <c r="E125" s="33"/>
      <c r="F125" s="33" t="s">
        <v>337</v>
      </c>
      <c r="G125" s="33" t="str">
        <f t="shared" si="1"/>
        <v/>
      </c>
      <c r="H125" s="33" t="str">
        <f>IF(tbl_FichaTecnica[[#This Row],[ID]]="", "", SUMIF(tbl_FichaTecnica[ID], tbl_FichaTecnica[[#This Row],[ID]], tbl_FichaTecnica[Custo Parcial]))</f>
        <v/>
      </c>
    </row>
    <row r="126" spans="1:8" ht="16.5" x14ac:dyDescent="0.25">
      <c r="A126" s="43">
        <v>23</v>
      </c>
      <c r="B126" s="33" t="str">
        <f>IF(A126="", "", VLOOKUP(A126, tbl_Pizzas[[ID]:[Nome]], 2, FALSE))</f>
        <v>Presunto com Milho</v>
      </c>
      <c r="C126" s="36" t="s">
        <v>9</v>
      </c>
      <c r="D126" s="111">
        <v>1</v>
      </c>
      <c r="E126" s="36" t="s">
        <v>14</v>
      </c>
      <c r="F126" s="36">
        <v>6.8</v>
      </c>
      <c r="G126" s="36">
        <f t="shared" si="1"/>
        <v>6.8</v>
      </c>
      <c r="H126" s="33">
        <f>IF(tbl_FichaTecnica[[#This Row],[ID]]="", "", SUMIF(tbl_FichaTecnica[ID], tbl_FichaTecnica[[#This Row],[ID]], tbl_FichaTecnica[Custo Parcial]))</f>
        <v>23.254999999999995</v>
      </c>
    </row>
    <row r="127" spans="1:8" ht="16.5" x14ac:dyDescent="0.25">
      <c r="A127" s="42">
        <v>23</v>
      </c>
      <c r="B127" s="33" t="str">
        <f>IF(A127="", "", VLOOKUP(A127, tbl_Pizzas[[ID]:[Nome]], 2, FALSE))</f>
        <v>Presunto com Milho</v>
      </c>
      <c r="C127" s="33" t="s">
        <v>15</v>
      </c>
      <c r="D127" s="112">
        <v>0.15</v>
      </c>
      <c r="E127" s="33" t="s">
        <v>12</v>
      </c>
      <c r="F127" s="33">
        <v>13.9</v>
      </c>
      <c r="G127" s="33">
        <f t="shared" si="1"/>
        <v>2.085</v>
      </c>
      <c r="H127" s="33">
        <f>IF(tbl_FichaTecnica[[#This Row],[ID]]="", "", SUMIF(tbl_FichaTecnica[ID], tbl_FichaTecnica[[#This Row],[ID]], tbl_FichaTecnica[Custo Parcial]))</f>
        <v>23.254999999999995</v>
      </c>
    </row>
    <row r="128" spans="1:8" ht="16.5" x14ac:dyDescent="0.25">
      <c r="A128" s="43">
        <v>23</v>
      </c>
      <c r="B128" s="33" t="str">
        <f>IF(A128="", "", VLOOKUP(A128, tbl_Pizzas[[ID]:[Nome]], 2, FALSE))</f>
        <v>Presunto com Milho</v>
      </c>
      <c r="C128" s="36" t="s">
        <v>17</v>
      </c>
      <c r="D128" s="111">
        <v>0.22</v>
      </c>
      <c r="E128" s="36" t="s">
        <v>10</v>
      </c>
      <c r="F128" s="36">
        <v>43.5</v>
      </c>
      <c r="G128" s="36">
        <f t="shared" si="1"/>
        <v>9.57</v>
      </c>
      <c r="H128" s="33">
        <f>IF(tbl_FichaTecnica[[#This Row],[ID]]="", "", SUMIF(tbl_FichaTecnica[ID], tbl_FichaTecnica[[#This Row],[ID]], tbl_FichaTecnica[Custo Parcial]))</f>
        <v>23.254999999999995</v>
      </c>
    </row>
    <row r="129" spans="1:8" ht="16.5" x14ac:dyDescent="0.25">
      <c r="A129" s="42">
        <v>23</v>
      </c>
      <c r="B129" s="33" t="str">
        <f>IF(A129="", "", VLOOKUP(A129, tbl_Pizzas[[ID]:[Nome]], 2, FALSE))</f>
        <v>Presunto com Milho</v>
      </c>
      <c r="C129" s="33" t="s">
        <v>20</v>
      </c>
      <c r="D129" s="112">
        <v>0.1</v>
      </c>
      <c r="E129" s="33" t="s">
        <v>10</v>
      </c>
      <c r="F129" s="33">
        <v>36.5</v>
      </c>
      <c r="G129" s="33">
        <f t="shared" si="1"/>
        <v>3.6500000000000004</v>
      </c>
      <c r="H129" s="33">
        <f>IF(tbl_FichaTecnica[[#This Row],[ID]]="", "", SUMIF(tbl_FichaTecnica[ID], tbl_FichaTecnica[[#This Row],[ID]], tbl_FichaTecnica[Custo Parcial]))</f>
        <v>23.254999999999995</v>
      </c>
    </row>
    <row r="130" spans="1:8" ht="16.5" x14ac:dyDescent="0.25">
      <c r="A130" s="42">
        <v>23</v>
      </c>
      <c r="B130" s="33" t="str">
        <f>IF(A130="", "", VLOOKUP(A130, tbl_Pizzas[[ID]:[Nome]], 2, FALSE))</f>
        <v>Presunto com Milho</v>
      </c>
      <c r="C130" s="33" t="s">
        <v>30</v>
      </c>
      <c r="D130" s="112">
        <v>0.1</v>
      </c>
      <c r="E130" s="33" t="s">
        <v>12</v>
      </c>
      <c r="F130" s="33">
        <v>11.5</v>
      </c>
      <c r="G130" s="33">
        <f t="shared" si="1"/>
        <v>1.1500000000000001</v>
      </c>
      <c r="H130" s="33">
        <f>IF(tbl_FichaTecnica[[#This Row],[ID]]="", "", SUMIF(tbl_FichaTecnica[ID], tbl_FichaTecnica[[#This Row],[ID]], tbl_FichaTecnica[Custo Parcial]))</f>
        <v>23.254999999999995</v>
      </c>
    </row>
    <row r="131" spans="1:8" ht="16.5" x14ac:dyDescent="0.25">
      <c r="A131" s="43"/>
      <c r="B131" s="33" t="str">
        <f>IF(A131="", "", VLOOKUP(A131, tbl_Pizzas[[ID]:[Nome]], 2, FALSE))</f>
        <v/>
      </c>
      <c r="C131" s="36"/>
      <c r="D131" s="111"/>
      <c r="E131" s="36"/>
      <c r="F131" s="36" t="s">
        <v>337</v>
      </c>
      <c r="G131" s="36" t="str">
        <f t="shared" si="1"/>
        <v/>
      </c>
      <c r="H131" s="33" t="str">
        <f>IF(tbl_FichaTecnica[[#This Row],[ID]]="", "", SUMIF(tbl_FichaTecnica[ID], tbl_FichaTecnica[[#This Row],[ID]], tbl_FichaTecnica[Custo Parcial]))</f>
        <v/>
      </c>
    </row>
    <row r="132" spans="1:8" ht="16.5" x14ac:dyDescent="0.25">
      <c r="A132" s="42">
        <v>24</v>
      </c>
      <c r="B132" s="33" t="str">
        <f>IF(A132="", "", VLOOKUP(A132, tbl_Pizzas[[ID]:[Nome]], 2, FALSE))</f>
        <v>Atum com Azeitona</v>
      </c>
      <c r="C132" s="33" t="s">
        <v>9</v>
      </c>
      <c r="D132" s="112">
        <v>1</v>
      </c>
      <c r="E132" s="33" t="s">
        <v>14</v>
      </c>
      <c r="F132" s="33">
        <v>6.8</v>
      </c>
      <c r="G132" s="33">
        <f t="shared" si="1"/>
        <v>6.8</v>
      </c>
      <c r="H132" s="33">
        <f>IF(tbl_FichaTecnica[[#This Row],[ID]]="", "", SUMIF(tbl_FichaTecnica[ID], tbl_FichaTecnica[[#This Row],[ID]], tbl_FichaTecnica[Custo Parcial]))</f>
        <v>32.284999999999997</v>
      </c>
    </row>
    <row r="133" spans="1:8" ht="16.5" x14ac:dyDescent="0.25">
      <c r="A133" s="43">
        <v>24</v>
      </c>
      <c r="B133" s="33" t="str">
        <f>IF(A133="", "", VLOOKUP(A133, tbl_Pizzas[[ID]:[Nome]], 2, FALSE))</f>
        <v>Atum com Azeitona</v>
      </c>
      <c r="C133" s="36" t="s">
        <v>15</v>
      </c>
      <c r="D133" s="111">
        <v>0.15</v>
      </c>
      <c r="E133" s="36" t="s">
        <v>12</v>
      </c>
      <c r="F133" s="36">
        <v>13.9</v>
      </c>
      <c r="G133" s="36">
        <f t="shared" si="1"/>
        <v>2.085</v>
      </c>
      <c r="H133" s="33">
        <f>IF(tbl_FichaTecnica[[#This Row],[ID]]="", "", SUMIF(tbl_FichaTecnica[ID], tbl_FichaTecnica[[#This Row],[ID]], tbl_FichaTecnica[Custo Parcial]))</f>
        <v>32.284999999999997</v>
      </c>
    </row>
    <row r="134" spans="1:8" ht="16.5" x14ac:dyDescent="0.25">
      <c r="A134" s="42">
        <v>24</v>
      </c>
      <c r="B134" s="33" t="str">
        <f>IF(A134="", "", VLOOKUP(A134, tbl_Pizzas[[ID]:[Nome]], 2, FALSE))</f>
        <v>Atum com Azeitona</v>
      </c>
      <c r="C134" s="33" t="s">
        <v>17</v>
      </c>
      <c r="D134" s="112">
        <v>0.2</v>
      </c>
      <c r="E134" s="33" t="s">
        <v>10</v>
      </c>
      <c r="F134" s="33">
        <v>43.5</v>
      </c>
      <c r="G134" s="33">
        <f t="shared" ref="G134:G197" si="2">IF(D134="", "", D134 * F134)</f>
        <v>8.7000000000000011</v>
      </c>
      <c r="H134" s="33">
        <f>IF(tbl_FichaTecnica[[#This Row],[ID]]="", "", SUMIF(tbl_FichaTecnica[ID], tbl_FichaTecnica[[#This Row],[ID]], tbl_FichaTecnica[Custo Parcial]))</f>
        <v>32.284999999999997</v>
      </c>
    </row>
    <row r="135" spans="1:8" ht="16.5" x14ac:dyDescent="0.25">
      <c r="A135" s="42">
        <v>24</v>
      </c>
      <c r="B135" s="33" t="str">
        <f>IF(A135="", "", VLOOKUP(A135, tbl_Pizzas[[ID]:[Nome]], 2, FALSE))</f>
        <v>Atum com Azeitona</v>
      </c>
      <c r="C135" s="33" t="s">
        <v>66</v>
      </c>
      <c r="D135" s="112">
        <v>1</v>
      </c>
      <c r="E135" s="33" t="s">
        <v>14</v>
      </c>
      <c r="F135" s="33">
        <v>13.2</v>
      </c>
      <c r="G135" s="33">
        <f t="shared" si="2"/>
        <v>13.2</v>
      </c>
      <c r="H135" s="33">
        <f>IF(tbl_FichaTecnica[[#This Row],[ID]]="", "", SUMIF(tbl_FichaTecnica[ID], tbl_FichaTecnica[[#This Row],[ID]], tbl_FichaTecnica[Custo Parcial]))</f>
        <v>32.284999999999997</v>
      </c>
    </row>
    <row r="136" spans="1:8" ht="16.5" x14ac:dyDescent="0.25">
      <c r="A136" s="43">
        <v>24</v>
      </c>
      <c r="B136" s="33" t="str">
        <f>IF(A136="", "", VLOOKUP(A136, tbl_Pizzas[[ID]:[Nome]], 2, FALSE))</f>
        <v>Atum com Azeitona</v>
      </c>
      <c r="C136" s="36" t="s">
        <v>28</v>
      </c>
      <c r="D136" s="111">
        <v>0.06</v>
      </c>
      <c r="E136" s="36" t="s">
        <v>10</v>
      </c>
      <c r="F136" s="36">
        <v>25</v>
      </c>
      <c r="G136" s="36">
        <f t="shared" si="2"/>
        <v>1.5</v>
      </c>
      <c r="H136" s="33">
        <f>IF(tbl_FichaTecnica[[#This Row],[ID]]="", "", SUMIF(tbl_FichaTecnica[ID], tbl_FichaTecnica[[#This Row],[ID]], tbl_FichaTecnica[Custo Parcial]))</f>
        <v>32.284999999999997</v>
      </c>
    </row>
    <row r="137" spans="1:8" ht="16.5" x14ac:dyDescent="0.25">
      <c r="A137" s="42"/>
      <c r="B137" s="33" t="str">
        <f>IF(A137="", "", VLOOKUP(A137, tbl_Pizzas[[ID]:[Nome]], 2, FALSE))</f>
        <v/>
      </c>
      <c r="C137" s="33"/>
      <c r="D137" s="112"/>
      <c r="E137" s="33"/>
      <c r="F137" s="33" t="s">
        <v>337</v>
      </c>
      <c r="G137" s="33" t="str">
        <f t="shared" si="2"/>
        <v/>
      </c>
      <c r="H137" s="33" t="str">
        <f>IF(tbl_FichaTecnica[[#This Row],[ID]]="", "", SUMIF(tbl_FichaTecnica[ID], tbl_FichaTecnica[[#This Row],[ID]], tbl_FichaTecnica[Custo Parcial]))</f>
        <v/>
      </c>
    </row>
    <row r="138" spans="1:8" ht="16.5" x14ac:dyDescent="0.25">
      <c r="A138" s="43">
        <v>25</v>
      </c>
      <c r="B138" s="33" t="str">
        <f>IF(A138="", "", VLOOKUP(A138, tbl_Pizzas[[ID]:[Nome]], 2, FALSE))</f>
        <v>Bacon com Pimentão</v>
      </c>
      <c r="C138" s="36" t="s">
        <v>9</v>
      </c>
      <c r="D138" s="111">
        <v>1</v>
      </c>
      <c r="E138" s="36" t="s">
        <v>14</v>
      </c>
      <c r="F138" s="36">
        <v>6.8</v>
      </c>
      <c r="G138" s="36">
        <f t="shared" si="2"/>
        <v>6.8</v>
      </c>
      <c r="H138" s="33">
        <f>IF(tbl_FichaTecnica[[#This Row],[ID]]="", "", SUMIF(tbl_FichaTecnica[ID], tbl_FichaTecnica[[#This Row],[ID]], tbl_FichaTecnica[Custo Parcial]))</f>
        <v>23.916999999999998</v>
      </c>
    </row>
    <row r="139" spans="1:8" ht="16.5" x14ac:dyDescent="0.25">
      <c r="A139" s="42">
        <v>25</v>
      </c>
      <c r="B139" s="33" t="str">
        <f>IF(A139="", "", VLOOKUP(A139, tbl_Pizzas[[ID]:[Nome]], 2, FALSE))</f>
        <v>Bacon com Pimentão</v>
      </c>
      <c r="C139" s="33" t="s">
        <v>15</v>
      </c>
      <c r="D139" s="112">
        <v>0.15</v>
      </c>
      <c r="E139" s="33" t="s">
        <v>12</v>
      </c>
      <c r="F139" s="33">
        <v>13.9</v>
      </c>
      <c r="G139" s="33">
        <f t="shared" si="2"/>
        <v>2.085</v>
      </c>
      <c r="H139" s="33">
        <f>IF(tbl_FichaTecnica[[#This Row],[ID]]="", "", SUMIF(tbl_FichaTecnica[ID], tbl_FichaTecnica[[#This Row],[ID]], tbl_FichaTecnica[Custo Parcial]))</f>
        <v>23.916999999999998</v>
      </c>
    </row>
    <row r="140" spans="1:8" ht="16.5" x14ac:dyDescent="0.25">
      <c r="A140" s="42">
        <v>25</v>
      </c>
      <c r="B140" s="33" t="str">
        <f>IF(A140="", "", VLOOKUP(A140, tbl_Pizzas[[ID]:[Nome]], 2, FALSE))</f>
        <v>Bacon com Pimentão</v>
      </c>
      <c r="C140" s="33" t="s">
        <v>17</v>
      </c>
      <c r="D140" s="112">
        <v>0.22</v>
      </c>
      <c r="E140" s="33" t="s">
        <v>10</v>
      </c>
      <c r="F140" s="33">
        <v>43.5</v>
      </c>
      <c r="G140" s="33">
        <f t="shared" si="2"/>
        <v>9.57</v>
      </c>
      <c r="H140" s="33">
        <f>IF(tbl_FichaTecnica[[#This Row],[ID]]="", "", SUMIF(tbl_FichaTecnica[ID], tbl_FichaTecnica[[#This Row],[ID]], tbl_FichaTecnica[Custo Parcial]))</f>
        <v>23.916999999999998</v>
      </c>
    </row>
    <row r="141" spans="1:8" ht="16.5" x14ac:dyDescent="0.25">
      <c r="A141" s="43">
        <v>25</v>
      </c>
      <c r="B141" s="33" t="str">
        <f>IF(A141="", "", VLOOKUP(A141, tbl_Pizzas[[ID]:[Nome]], 2, FALSE))</f>
        <v>Bacon com Pimentão</v>
      </c>
      <c r="C141" s="36" t="s">
        <v>67</v>
      </c>
      <c r="D141" s="111">
        <v>0.1</v>
      </c>
      <c r="E141" s="36" t="s">
        <v>10</v>
      </c>
      <c r="F141" s="36">
        <v>41</v>
      </c>
      <c r="G141" s="36">
        <f t="shared" si="2"/>
        <v>4.1000000000000005</v>
      </c>
      <c r="H141" s="33">
        <f>IF(tbl_FichaTecnica[[#This Row],[ID]]="", "", SUMIF(tbl_FichaTecnica[ID], tbl_FichaTecnica[[#This Row],[ID]], tbl_FichaTecnica[Custo Parcial]))</f>
        <v>23.916999999999998</v>
      </c>
    </row>
    <row r="142" spans="1:8" ht="16.5" x14ac:dyDescent="0.25">
      <c r="A142" s="42">
        <v>25</v>
      </c>
      <c r="B142" s="33" t="str">
        <f>IF(A142="", "", VLOOKUP(A142, tbl_Pizzas[[ID]:[Nome]], 2, FALSE))</f>
        <v>Bacon com Pimentão</v>
      </c>
      <c r="C142" s="33" t="s">
        <v>71</v>
      </c>
      <c r="D142" s="112">
        <v>0.08</v>
      </c>
      <c r="E142" s="33" t="s">
        <v>10</v>
      </c>
      <c r="F142" s="33">
        <v>10.199999999999999</v>
      </c>
      <c r="G142" s="33">
        <f t="shared" si="2"/>
        <v>0.81599999999999995</v>
      </c>
      <c r="H142" s="33">
        <f>IF(tbl_FichaTecnica[[#This Row],[ID]]="", "", SUMIF(tbl_FichaTecnica[ID], tbl_FichaTecnica[[#This Row],[ID]], tbl_FichaTecnica[Custo Parcial]))</f>
        <v>23.916999999999998</v>
      </c>
    </row>
    <row r="143" spans="1:8" ht="16.5" x14ac:dyDescent="0.25">
      <c r="A143" s="43">
        <v>25</v>
      </c>
      <c r="B143" s="33" t="str">
        <f>IF(A143="", "", VLOOKUP(A143, tbl_Pizzas[[ID]:[Nome]], 2, FALSE))</f>
        <v>Bacon com Pimentão</v>
      </c>
      <c r="C143" s="36" t="s">
        <v>23</v>
      </c>
      <c r="D143" s="111">
        <v>7.0000000000000007E-2</v>
      </c>
      <c r="E143" s="36" t="s">
        <v>10</v>
      </c>
      <c r="F143" s="36">
        <v>7.8</v>
      </c>
      <c r="G143" s="36">
        <f t="shared" si="2"/>
        <v>0.54600000000000004</v>
      </c>
      <c r="H143" s="33">
        <f>IF(tbl_FichaTecnica[[#This Row],[ID]]="", "", SUMIF(tbl_FichaTecnica[ID], tbl_FichaTecnica[[#This Row],[ID]], tbl_FichaTecnica[Custo Parcial]))</f>
        <v>23.916999999999998</v>
      </c>
    </row>
    <row r="144" spans="1:8" ht="16.5" x14ac:dyDescent="0.25">
      <c r="A144" s="42"/>
      <c r="B144" s="33" t="str">
        <f>IF(A144="", "", VLOOKUP(A144, tbl_Pizzas[[ID]:[Nome]], 2, FALSE))</f>
        <v/>
      </c>
      <c r="C144" s="33"/>
      <c r="D144" s="112"/>
      <c r="E144" s="33"/>
      <c r="F144" s="33" t="s">
        <v>337</v>
      </c>
      <c r="G144" s="33" t="str">
        <f t="shared" si="2"/>
        <v/>
      </c>
      <c r="H144" s="33" t="str">
        <f>IF(tbl_FichaTecnica[[#This Row],[ID]]="", "", SUMIF(tbl_FichaTecnica[ID], tbl_FichaTecnica[[#This Row],[ID]], tbl_FichaTecnica[Custo Parcial]))</f>
        <v/>
      </c>
    </row>
    <row r="145" spans="1:8" ht="16.5" x14ac:dyDescent="0.25">
      <c r="A145" s="42">
        <v>26</v>
      </c>
      <c r="B145" s="33" t="str">
        <f>IF(A145="", "", VLOOKUP(A145, tbl_Pizzas[[ID]:[Nome]], 2, FALSE))</f>
        <v>Quatro Queijos Simples</v>
      </c>
      <c r="C145" s="33" t="s">
        <v>9</v>
      </c>
      <c r="D145" s="112">
        <v>1</v>
      </c>
      <c r="E145" s="33" t="s">
        <v>14</v>
      </c>
      <c r="F145" s="33">
        <v>6.8</v>
      </c>
      <c r="G145" s="33">
        <f t="shared" si="2"/>
        <v>6.8</v>
      </c>
      <c r="H145" s="33">
        <f>IF(tbl_FichaTecnica[[#This Row],[ID]]="", "", SUMIF(tbl_FichaTecnica[ID], tbl_FichaTecnica[[#This Row],[ID]], tbl_FichaTecnica[Custo Parcial]))</f>
        <v>28.699999999999996</v>
      </c>
    </row>
    <row r="146" spans="1:8" ht="16.5" x14ac:dyDescent="0.25">
      <c r="A146" s="43">
        <v>26</v>
      </c>
      <c r="B146" s="33" t="str">
        <f>IF(A146="", "", VLOOKUP(A146, tbl_Pizzas[[ID]:[Nome]], 2, FALSE))</f>
        <v>Quatro Queijos Simples</v>
      </c>
      <c r="C146" s="36" t="s">
        <v>15</v>
      </c>
      <c r="D146" s="111">
        <v>0.15</v>
      </c>
      <c r="E146" s="36" t="s">
        <v>12</v>
      </c>
      <c r="F146" s="36">
        <v>13.9</v>
      </c>
      <c r="G146" s="36">
        <f t="shared" si="2"/>
        <v>2.085</v>
      </c>
      <c r="H146" s="33">
        <f>IF(tbl_FichaTecnica[[#This Row],[ID]]="", "", SUMIF(tbl_FichaTecnica[ID], tbl_FichaTecnica[[#This Row],[ID]], tbl_FichaTecnica[Custo Parcial]))</f>
        <v>28.699999999999996</v>
      </c>
    </row>
    <row r="147" spans="1:8" ht="16.5" x14ac:dyDescent="0.25">
      <c r="A147" s="42">
        <v>26</v>
      </c>
      <c r="B147" s="33" t="str">
        <f>IF(A147="", "", VLOOKUP(A147, tbl_Pizzas[[ID]:[Nome]], 2, FALSE))</f>
        <v>Quatro Queijos Simples</v>
      </c>
      <c r="C147" s="33" t="s">
        <v>17</v>
      </c>
      <c r="D147" s="112">
        <v>0.25</v>
      </c>
      <c r="E147" s="33" t="s">
        <v>10</v>
      </c>
      <c r="F147" s="33">
        <v>43.5</v>
      </c>
      <c r="G147" s="33">
        <f t="shared" si="2"/>
        <v>10.875</v>
      </c>
      <c r="H147" s="33">
        <f>IF(tbl_FichaTecnica[[#This Row],[ID]]="", "", SUMIF(tbl_FichaTecnica[ID], tbl_FichaTecnica[[#This Row],[ID]], tbl_FichaTecnica[Custo Parcial]))</f>
        <v>28.699999999999996</v>
      </c>
    </row>
    <row r="148" spans="1:8" ht="16.5" x14ac:dyDescent="0.25">
      <c r="A148" s="43">
        <v>26</v>
      </c>
      <c r="B148" s="33" t="str">
        <f>IF(A148="", "", VLOOKUP(A148, tbl_Pizzas[[ID]:[Nome]], 2, FALSE))</f>
        <v>Quatro Queijos Simples</v>
      </c>
      <c r="C148" s="36" t="s">
        <v>61</v>
      </c>
      <c r="D148" s="111">
        <v>0.1</v>
      </c>
      <c r="E148" s="36" t="s">
        <v>10</v>
      </c>
      <c r="F148" s="36">
        <v>47</v>
      </c>
      <c r="G148" s="36">
        <f t="shared" si="2"/>
        <v>4.7</v>
      </c>
      <c r="H148" s="33">
        <f>IF(tbl_FichaTecnica[[#This Row],[ID]]="", "", SUMIF(tbl_FichaTecnica[ID], tbl_FichaTecnica[[#This Row],[ID]], tbl_FichaTecnica[Custo Parcial]))</f>
        <v>28.699999999999996</v>
      </c>
    </row>
    <row r="149" spans="1:8" ht="16.5" x14ac:dyDescent="0.25">
      <c r="A149" s="42">
        <v>26</v>
      </c>
      <c r="B149" s="33" t="str">
        <f>IF(A149="", "", VLOOKUP(A149, tbl_Pizzas[[ID]:[Nome]], 2, FALSE))</f>
        <v>Quatro Queijos Simples</v>
      </c>
      <c r="C149" s="33" t="s">
        <v>31</v>
      </c>
      <c r="D149" s="112">
        <v>0.08</v>
      </c>
      <c r="E149" s="33" t="s">
        <v>10</v>
      </c>
      <c r="F149" s="33">
        <v>53</v>
      </c>
      <c r="G149" s="33">
        <f t="shared" si="2"/>
        <v>4.24</v>
      </c>
      <c r="H149" s="33">
        <f>IF(tbl_FichaTecnica[[#This Row],[ID]]="", "", SUMIF(tbl_FichaTecnica[ID], tbl_FichaTecnica[[#This Row],[ID]], tbl_FichaTecnica[Custo Parcial]))</f>
        <v>28.699999999999996</v>
      </c>
    </row>
    <row r="150" spans="1:8" ht="16.5" x14ac:dyDescent="0.25">
      <c r="A150" s="42"/>
      <c r="B150" s="33" t="str">
        <f>IF(A150="", "", VLOOKUP(A150, tbl_Pizzas[[ID]:[Nome]], 2, FALSE))</f>
        <v/>
      </c>
      <c r="C150" s="33"/>
      <c r="D150" s="112"/>
      <c r="E150" s="33"/>
      <c r="F150" s="33" t="s">
        <v>337</v>
      </c>
      <c r="G150" s="33" t="str">
        <f t="shared" si="2"/>
        <v/>
      </c>
      <c r="H150" s="33" t="str">
        <f>IF(tbl_FichaTecnica[[#This Row],[ID]]="", "", SUMIF(tbl_FichaTecnica[ID], tbl_FichaTecnica[[#This Row],[ID]], tbl_FichaTecnica[Custo Parcial]))</f>
        <v/>
      </c>
    </row>
    <row r="151" spans="1:8" ht="16.5" x14ac:dyDescent="0.25">
      <c r="A151" s="43">
        <v>27</v>
      </c>
      <c r="B151" s="33" t="str">
        <f>IF(A151="", "", VLOOKUP(A151, tbl_Pizzas[[ID]:[Nome]], 2, FALSE))</f>
        <v>Romeu e Julieta Especial</v>
      </c>
      <c r="C151" s="36" t="s">
        <v>9</v>
      </c>
      <c r="D151" s="111">
        <v>1</v>
      </c>
      <c r="E151" s="36" t="s">
        <v>14</v>
      </c>
      <c r="F151" s="36">
        <v>6.8</v>
      </c>
      <c r="G151" s="36">
        <f t="shared" si="2"/>
        <v>6.8</v>
      </c>
      <c r="H151" s="33">
        <f>IF(tbl_FichaTecnica[[#This Row],[ID]]="", "", SUMIF(tbl_FichaTecnica[ID], tbl_FichaTecnica[[#This Row],[ID]], tbl_FichaTecnica[Custo Parcial]))</f>
        <v>17.970699999999997</v>
      </c>
    </row>
    <row r="152" spans="1:8" ht="16.5" x14ac:dyDescent="0.25">
      <c r="A152" s="42">
        <v>27</v>
      </c>
      <c r="B152" s="33" t="str">
        <f>IF(A152="", "", VLOOKUP(A152, tbl_Pizzas[[ID]:[Nome]], 2, FALSE))</f>
        <v>Romeu e Julieta Especial</v>
      </c>
      <c r="C152" s="33" t="s">
        <v>17</v>
      </c>
      <c r="D152" s="112">
        <v>0.18</v>
      </c>
      <c r="E152" s="33" t="s">
        <v>10</v>
      </c>
      <c r="F152" s="33">
        <v>43.5</v>
      </c>
      <c r="G152" s="33">
        <f t="shared" si="2"/>
        <v>7.83</v>
      </c>
      <c r="H152" s="33">
        <f>IF(tbl_FichaTecnica[[#This Row],[ID]]="", "", SUMIF(tbl_FichaTecnica[ID], tbl_FichaTecnica[[#This Row],[ID]], tbl_FichaTecnica[Custo Parcial]))</f>
        <v>17.970699999999997</v>
      </c>
    </row>
    <row r="153" spans="1:8" ht="16.5" x14ac:dyDescent="0.25">
      <c r="A153" s="43">
        <v>27</v>
      </c>
      <c r="B153" s="33" t="str">
        <f>IF(A153="", "", VLOOKUP(A153, tbl_Pizzas[[ID]:[Nome]], 2, FALSE))</f>
        <v>Romeu e Julieta Especial</v>
      </c>
      <c r="C153" s="36" t="s">
        <v>77</v>
      </c>
      <c r="D153" s="111">
        <v>0.15</v>
      </c>
      <c r="E153" s="36" t="s">
        <v>10</v>
      </c>
      <c r="F153" s="36">
        <v>16.8</v>
      </c>
      <c r="G153" s="36">
        <f t="shared" si="2"/>
        <v>2.52</v>
      </c>
      <c r="H153" s="33">
        <f>IF(tbl_FichaTecnica[[#This Row],[ID]]="", "", SUMIF(tbl_FichaTecnica[ID], tbl_FichaTecnica[[#This Row],[ID]], tbl_FichaTecnica[Custo Parcial]))</f>
        <v>17.970699999999997</v>
      </c>
    </row>
    <row r="154" spans="1:8" ht="16.5" x14ac:dyDescent="0.25">
      <c r="A154" s="42">
        <v>27</v>
      </c>
      <c r="B154" s="33" t="str">
        <f>IF(A154="", "", VLOOKUP(A154, tbl_Pizzas[[ID]:[Nome]], 2, FALSE))</f>
        <v>Romeu e Julieta Especial</v>
      </c>
      <c r="C154" s="33" t="s">
        <v>35</v>
      </c>
      <c r="D154" s="112">
        <v>0.04</v>
      </c>
      <c r="E154" s="33" t="s">
        <v>10</v>
      </c>
      <c r="F154" s="33">
        <v>20.5</v>
      </c>
      <c r="G154" s="33">
        <f t="shared" si="2"/>
        <v>0.82000000000000006</v>
      </c>
      <c r="H154" s="33">
        <f>IF(tbl_FichaTecnica[[#This Row],[ID]]="", "", SUMIF(tbl_FichaTecnica[ID], tbl_FichaTecnica[[#This Row],[ID]], tbl_FichaTecnica[Custo Parcial]))</f>
        <v>17.970699999999997</v>
      </c>
    </row>
    <row r="155" spans="1:8" ht="16.5" x14ac:dyDescent="0.25">
      <c r="A155" s="42">
        <v>27</v>
      </c>
      <c r="B155" s="33" t="str">
        <f>IF(A155="", "", VLOOKUP(A155, tbl_Pizzas[[ID]:[Nome]], 2, FALSE))</f>
        <v>Romeu e Julieta Especial</v>
      </c>
      <c r="C155" s="33" t="s">
        <v>79</v>
      </c>
      <c r="D155" s="112">
        <v>5.0000000000000001E-3</v>
      </c>
      <c r="E155" s="33" t="s">
        <v>10</v>
      </c>
      <c r="F155" s="33">
        <v>0.14000000000000001</v>
      </c>
      <c r="G155" s="33">
        <f t="shared" si="2"/>
        <v>7.000000000000001E-4</v>
      </c>
      <c r="H155" s="33">
        <f>IF(tbl_FichaTecnica[[#This Row],[ID]]="", "", SUMIF(tbl_FichaTecnica[ID], tbl_FichaTecnica[[#This Row],[ID]], tbl_FichaTecnica[Custo Parcial]))</f>
        <v>17.970699999999997</v>
      </c>
    </row>
    <row r="156" spans="1:8" ht="16.5" x14ac:dyDescent="0.25">
      <c r="A156" s="43"/>
      <c r="B156" s="33" t="str">
        <f>IF(A156="", "", VLOOKUP(A156, tbl_Pizzas[[ID]:[Nome]], 2, FALSE))</f>
        <v/>
      </c>
      <c r="C156" s="36"/>
      <c r="D156" s="111"/>
      <c r="E156" s="36"/>
      <c r="F156" s="36" t="s">
        <v>337</v>
      </c>
      <c r="G156" s="36" t="str">
        <f t="shared" si="2"/>
        <v/>
      </c>
      <c r="H156" s="33" t="str">
        <f>IF(tbl_FichaTecnica[[#This Row],[ID]]="", "", SUMIF(tbl_FichaTecnica[ID], tbl_FichaTecnica[[#This Row],[ID]], tbl_FichaTecnica[Custo Parcial]))</f>
        <v/>
      </c>
    </row>
    <row r="157" spans="1:8" ht="16.5" x14ac:dyDescent="0.25">
      <c r="A157" s="42">
        <v>28</v>
      </c>
      <c r="B157" s="33" t="str">
        <f>IF(A157="", "", VLOOKUP(A157, tbl_Pizzas[[ID]:[Nome]], 2, FALSE))</f>
        <v>Chocolate com Morango</v>
      </c>
      <c r="C157" s="33" t="s">
        <v>9</v>
      </c>
      <c r="D157" s="112">
        <v>1</v>
      </c>
      <c r="E157" s="33" t="s">
        <v>14</v>
      </c>
      <c r="F157" s="33">
        <v>6.8</v>
      </c>
      <c r="G157" s="33">
        <f t="shared" si="2"/>
        <v>6.8</v>
      </c>
      <c r="H157" s="33">
        <f>IF(tbl_FichaTecnica[[#This Row],[ID]]="", "", SUMIF(tbl_FichaTecnica[ID], tbl_FichaTecnica[[#This Row],[ID]], tbl_FichaTecnica[Custo Parcial]))</f>
        <v>18.82</v>
      </c>
    </row>
    <row r="158" spans="1:8" ht="16.5" x14ac:dyDescent="0.25">
      <c r="A158" s="43">
        <v>28</v>
      </c>
      <c r="B158" s="33" t="str">
        <f>IF(A158="", "", VLOOKUP(A158, tbl_Pizzas[[ID]:[Nome]], 2, FALSE))</f>
        <v>Chocolate com Morango</v>
      </c>
      <c r="C158" s="36" t="s">
        <v>32</v>
      </c>
      <c r="D158" s="111">
        <v>0.2</v>
      </c>
      <c r="E158" s="36" t="s">
        <v>10</v>
      </c>
      <c r="F158" s="36">
        <v>37.5</v>
      </c>
      <c r="G158" s="36">
        <f t="shared" si="2"/>
        <v>7.5</v>
      </c>
      <c r="H158" s="33">
        <f>IF(tbl_FichaTecnica[[#This Row],[ID]]="", "", SUMIF(tbl_FichaTecnica[ID], tbl_FichaTecnica[[#This Row],[ID]], tbl_FichaTecnica[Custo Parcial]))</f>
        <v>18.82</v>
      </c>
    </row>
    <row r="159" spans="1:8" ht="16.5" x14ac:dyDescent="0.25">
      <c r="A159" s="42">
        <v>28</v>
      </c>
      <c r="B159" s="33" t="str">
        <f>IF(A159="", "", VLOOKUP(A159, tbl_Pizzas[[ID]:[Nome]], 2, FALSE))</f>
        <v>Chocolate com Morango</v>
      </c>
      <c r="C159" s="33" t="s">
        <v>74</v>
      </c>
      <c r="D159" s="112">
        <v>0.1</v>
      </c>
      <c r="E159" s="33" t="s">
        <v>10</v>
      </c>
      <c r="F159" s="33">
        <v>20.5</v>
      </c>
      <c r="G159" s="33">
        <f t="shared" si="2"/>
        <v>2.0500000000000003</v>
      </c>
      <c r="H159" s="33">
        <f>IF(tbl_FichaTecnica[[#This Row],[ID]]="", "", SUMIF(tbl_FichaTecnica[ID], tbl_FichaTecnica[[#This Row],[ID]], tbl_FichaTecnica[Custo Parcial]))</f>
        <v>18.82</v>
      </c>
    </row>
    <row r="160" spans="1:8" ht="16.5" x14ac:dyDescent="0.25">
      <c r="A160" s="42">
        <v>28</v>
      </c>
      <c r="B160" s="33" t="str">
        <f>IF(A160="", "", VLOOKUP(A160, tbl_Pizzas[[ID]:[Nome]], 2, FALSE))</f>
        <v>Chocolate com Morango</v>
      </c>
      <c r="C160" s="33" t="s">
        <v>35</v>
      </c>
      <c r="D160" s="112">
        <v>0.04</v>
      </c>
      <c r="E160" s="33" t="s">
        <v>10</v>
      </c>
      <c r="F160" s="33">
        <v>20.5</v>
      </c>
      <c r="G160" s="33">
        <f t="shared" si="2"/>
        <v>0.82000000000000006</v>
      </c>
      <c r="H160" s="33">
        <f>IF(tbl_FichaTecnica[[#This Row],[ID]]="", "", SUMIF(tbl_FichaTecnica[ID], tbl_FichaTecnica[[#This Row],[ID]], tbl_FichaTecnica[Custo Parcial]))</f>
        <v>18.82</v>
      </c>
    </row>
    <row r="161" spans="1:8" ht="16.5" x14ac:dyDescent="0.25">
      <c r="A161" s="43">
        <v>28</v>
      </c>
      <c r="B161" s="33" t="str">
        <f>IF(A161="", "", VLOOKUP(A161, tbl_Pizzas[[ID]:[Nome]], 2, FALSE))</f>
        <v>Chocolate com Morango</v>
      </c>
      <c r="C161" s="36" t="s">
        <v>73</v>
      </c>
      <c r="D161" s="111">
        <v>0.05</v>
      </c>
      <c r="E161" s="36" t="s">
        <v>10</v>
      </c>
      <c r="F161" s="36">
        <v>33</v>
      </c>
      <c r="G161" s="36">
        <f t="shared" si="2"/>
        <v>1.6500000000000001</v>
      </c>
      <c r="H161" s="33">
        <f>IF(tbl_FichaTecnica[[#This Row],[ID]]="", "", SUMIF(tbl_FichaTecnica[ID], tbl_FichaTecnica[[#This Row],[ID]], tbl_FichaTecnica[Custo Parcial]))</f>
        <v>18.82</v>
      </c>
    </row>
    <row r="162" spans="1:8" ht="16.5" x14ac:dyDescent="0.25">
      <c r="A162" s="42"/>
      <c r="B162" s="33" t="str">
        <f>IF(A162="", "", VLOOKUP(A162, tbl_Pizzas[[ID]:[Nome]], 2, FALSE))</f>
        <v/>
      </c>
      <c r="C162" s="33"/>
      <c r="D162" s="112"/>
      <c r="E162" s="33"/>
      <c r="F162" s="33" t="s">
        <v>337</v>
      </c>
      <c r="G162" s="33" t="str">
        <f t="shared" si="2"/>
        <v/>
      </c>
      <c r="H162" s="33" t="str">
        <f>IF(tbl_FichaTecnica[[#This Row],[ID]]="", "", SUMIF(tbl_FichaTecnica[ID], tbl_FichaTecnica[[#This Row],[ID]], tbl_FichaTecnica[Custo Parcial]))</f>
        <v/>
      </c>
    </row>
    <row r="163" spans="1:8" ht="16.5" x14ac:dyDescent="0.25">
      <c r="A163" s="43">
        <v>29</v>
      </c>
      <c r="B163" s="33" t="str">
        <f>IF(A163="", "", VLOOKUP(A163, tbl_Pizzas[[ID]:[Nome]], 2, FALSE))</f>
        <v>Havaiana com Bacon</v>
      </c>
      <c r="C163" s="36" t="s">
        <v>9</v>
      </c>
      <c r="D163" s="111">
        <v>1</v>
      </c>
      <c r="E163" s="36" t="s">
        <v>14</v>
      </c>
      <c r="F163" s="36">
        <v>6.8</v>
      </c>
      <c r="G163" s="36">
        <f t="shared" si="2"/>
        <v>6.8</v>
      </c>
      <c r="H163" s="33">
        <f>IF(tbl_FichaTecnica[[#This Row],[ID]]="", "", SUMIF(tbl_FichaTecnica[ID], tbl_FichaTecnica[[#This Row],[ID]], tbl_FichaTecnica[Custo Parcial]))</f>
        <v>27.124999999999996</v>
      </c>
    </row>
    <row r="164" spans="1:8" ht="16.5" x14ac:dyDescent="0.25">
      <c r="A164" s="42">
        <v>29</v>
      </c>
      <c r="B164" s="33" t="str">
        <f>IF(A164="", "", VLOOKUP(A164, tbl_Pizzas[[ID]:[Nome]], 2, FALSE))</f>
        <v>Havaiana com Bacon</v>
      </c>
      <c r="C164" s="33" t="s">
        <v>15</v>
      </c>
      <c r="D164" s="112">
        <v>0.15</v>
      </c>
      <c r="E164" s="33" t="s">
        <v>12</v>
      </c>
      <c r="F164" s="33">
        <v>13.9</v>
      </c>
      <c r="G164" s="33">
        <f t="shared" si="2"/>
        <v>2.085</v>
      </c>
      <c r="H164" s="33">
        <f>IF(tbl_FichaTecnica[[#This Row],[ID]]="", "", SUMIF(tbl_FichaTecnica[ID], tbl_FichaTecnica[[#This Row],[ID]], tbl_FichaTecnica[Custo Parcial]))</f>
        <v>27.124999999999996</v>
      </c>
    </row>
    <row r="165" spans="1:8" ht="16.5" x14ac:dyDescent="0.25">
      <c r="A165" s="42">
        <v>29</v>
      </c>
      <c r="B165" s="33" t="str">
        <f>IF(A165="", "", VLOOKUP(A165, tbl_Pizzas[[ID]:[Nome]], 2, FALSE))</f>
        <v>Havaiana com Bacon</v>
      </c>
      <c r="C165" s="33" t="s">
        <v>17</v>
      </c>
      <c r="D165" s="112">
        <v>0.22</v>
      </c>
      <c r="E165" s="33" t="s">
        <v>10</v>
      </c>
      <c r="F165" s="33">
        <v>43.5</v>
      </c>
      <c r="G165" s="33">
        <f t="shared" si="2"/>
        <v>9.57</v>
      </c>
      <c r="H165" s="33">
        <f>IF(tbl_FichaTecnica[[#This Row],[ID]]="", "", SUMIF(tbl_FichaTecnica[ID], tbl_FichaTecnica[[#This Row],[ID]], tbl_FichaTecnica[Custo Parcial]))</f>
        <v>27.124999999999996</v>
      </c>
    </row>
    <row r="166" spans="1:8" ht="16.5" x14ac:dyDescent="0.25">
      <c r="A166" s="43">
        <v>29</v>
      </c>
      <c r="B166" s="33" t="str">
        <f>IF(A166="", "", VLOOKUP(A166, tbl_Pizzas[[ID]:[Nome]], 2, FALSE))</f>
        <v>Havaiana com Bacon</v>
      </c>
      <c r="C166" s="36" t="s">
        <v>20</v>
      </c>
      <c r="D166" s="111">
        <v>0.1</v>
      </c>
      <c r="E166" s="36" t="s">
        <v>10</v>
      </c>
      <c r="F166" s="36">
        <v>36.5</v>
      </c>
      <c r="G166" s="36">
        <f t="shared" si="2"/>
        <v>3.6500000000000004</v>
      </c>
      <c r="H166" s="33">
        <f>IF(tbl_FichaTecnica[[#This Row],[ID]]="", "", SUMIF(tbl_FichaTecnica[ID], tbl_FichaTecnica[[#This Row],[ID]], tbl_FichaTecnica[Custo Parcial]))</f>
        <v>27.124999999999996</v>
      </c>
    </row>
    <row r="167" spans="1:8" ht="16.5" x14ac:dyDescent="0.25">
      <c r="A167" s="42">
        <v>29</v>
      </c>
      <c r="B167" s="33" t="str">
        <f>IF(A167="", "", VLOOKUP(A167, tbl_Pizzas[[ID]:[Nome]], 2, FALSE))</f>
        <v>Havaiana com Bacon</v>
      </c>
      <c r="C167" s="33" t="s">
        <v>72</v>
      </c>
      <c r="D167" s="112">
        <v>0.12</v>
      </c>
      <c r="E167" s="33" t="s">
        <v>10</v>
      </c>
      <c r="F167" s="33">
        <v>14.5</v>
      </c>
      <c r="G167" s="33">
        <f t="shared" si="2"/>
        <v>1.74</v>
      </c>
      <c r="H167" s="33">
        <f>IF(tbl_FichaTecnica[[#This Row],[ID]]="", "", SUMIF(tbl_FichaTecnica[ID], tbl_FichaTecnica[[#This Row],[ID]], tbl_FichaTecnica[Custo Parcial]))</f>
        <v>27.124999999999996</v>
      </c>
    </row>
    <row r="168" spans="1:8" ht="16.5" x14ac:dyDescent="0.25">
      <c r="A168" s="43">
        <v>29</v>
      </c>
      <c r="B168" s="33" t="str">
        <f>IF(A168="", "", VLOOKUP(A168, tbl_Pizzas[[ID]:[Nome]], 2, FALSE))</f>
        <v>Havaiana com Bacon</v>
      </c>
      <c r="C168" s="36" t="s">
        <v>67</v>
      </c>
      <c r="D168" s="111">
        <v>0.08</v>
      </c>
      <c r="E168" s="36" t="s">
        <v>10</v>
      </c>
      <c r="F168" s="36">
        <v>41</v>
      </c>
      <c r="G168" s="36">
        <f t="shared" si="2"/>
        <v>3.2800000000000002</v>
      </c>
      <c r="H168" s="33">
        <f>IF(tbl_FichaTecnica[[#This Row],[ID]]="", "", SUMIF(tbl_FichaTecnica[ID], tbl_FichaTecnica[[#This Row],[ID]], tbl_FichaTecnica[Custo Parcial]))</f>
        <v>27.124999999999996</v>
      </c>
    </row>
    <row r="169" spans="1:8" ht="16.5" x14ac:dyDescent="0.25">
      <c r="A169" s="42"/>
      <c r="B169" s="33" t="str">
        <f>IF(A169="", "", VLOOKUP(A169, tbl_Pizzas[[ID]:[Nome]], 2, FALSE))</f>
        <v/>
      </c>
      <c r="C169" s="33"/>
      <c r="D169" s="112"/>
      <c r="E169" s="33"/>
      <c r="F169" s="33" t="s">
        <v>337</v>
      </c>
      <c r="G169" s="33" t="str">
        <f t="shared" si="2"/>
        <v/>
      </c>
      <c r="H169" s="33" t="str">
        <f>IF(tbl_FichaTecnica[[#This Row],[ID]]="", "", SUMIF(tbl_FichaTecnica[ID], tbl_FichaTecnica[[#This Row],[ID]], tbl_FichaTecnica[Custo Parcial]))</f>
        <v/>
      </c>
    </row>
    <row r="170" spans="1:8" ht="16.5" x14ac:dyDescent="0.25">
      <c r="A170" s="42">
        <v>30</v>
      </c>
      <c r="B170" s="33" t="str">
        <f>IF(A170="", "", VLOOKUP(A170, tbl_Pizzas[[ID]:[Nome]], 2, FALSE))</f>
        <v>Vegetariana Suprema</v>
      </c>
      <c r="C170" s="33" t="s">
        <v>9</v>
      </c>
      <c r="D170" s="112">
        <v>1</v>
      </c>
      <c r="E170" s="33" t="s">
        <v>14</v>
      </c>
      <c r="F170" s="33">
        <v>6.8</v>
      </c>
      <c r="G170" s="33">
        <f t="shared" si="2"/>
        <v>6.8</v>
      </c>
      <c r="H170" s="33">
        <f>IF(tbl_FichaTecnica[[#This Row],[ID]]="", "", SUMIF(tbl_FichaTecnica[ID], tbl_FichaTecnica[[#This Row],[ID]], tbl_FichaTecnica[Custo Parcial]))</f>
        <v>21.023</v>
      </c>
    </row>
    <row r="171" spans="1:8" ht="16.5" x14ac:dyDescent="0.25">
      <c r="A171" s="43">
        <v>30</v>
      </c>
      <c r="B171" s="33" t="str">
        <f>IF(A171="", "", VLOOKUP(A171, tbl_Pizzas[[ID]:[Nome]], 2, FALSE))</f>
        <v>Vegetariana Suprema</v>
      </c>
      <c r="C171" s="36" t="s">
        <v>15</v>
      </c>
      <c r="D171" s="111">
        <v>0.15</v>
      </c>
      <c r="E171" s="36" t="s">
        <v>12</v>
      </c>
      <c r="F171" s="36">
        <v>13.9</v>
      </c>
      <c r="G171" s="36">
        <f t="shared" si="2"/>
        <v>2.085</v>
      </c>
      <c r="H171" s="33">
        <f>IF(tbl_FichaTecnica[[#This Row],[ID]]="", "", SUMIF(tbl_FichaTecnica[ID], tbl_FichaTecnica[[#This Row],[ID]], tbl_FichaTecnica[Custo Parcial]))</f>
        <v>21.023</v>
      </c>
    </row>
    <row r="172" spans="1:8" ht="16.5" x14ac:dyDescent="0.25">
      <c r="A172" s="42">
        <v>30</v>
      </c>
      <c r="B172" s="33" t="str">
        <f>IF(A172="", "", VLOOKUP(A172, tbl_Pizzas[[ID]:[Nome]], 2, FALSE))</f>
        <v>Vegetariana Suprema</v>
      </c>
      <c r="C172" s="33" t="s">
        <v>17</v>
      </c>
      <c r="D172" s="112">
        <v>0.2</v>
      </c>
      <c r="E172" s="33" t="s">
        <v>10</v>
      </c>
      <c r="F172" s="33">
        <v>43.5</v>
      </c>
      <c r="G172" s="33">
        <f t="shared" si="2"/>
        <v>8.7000000000000011</v>
      </c>
      <c r="H172" s="33">
        <f>IF(tbl_FichaTecnica[[#This Row],[ID]]="", "", SUMIF(tbl_FichaTecnica[ID], tbl_FichaTecnica[[#This Row],[ID]], tbl_FichaTecnica[Custo Parcial]))</f>
        <v>21.023</v>
      </c>
    </row>
    <row r="173" spans="1:8" ht="16.5" x14ac:dyDescent="0.25">
      <c r="A173" s="43">
        <v>30</v>
      </c>
      <c r="B173" s="33" t="str">
        <f>IF(A173="", "", VLOOKUP(A173, tbl_Pizzas[[ID]:[Nome]], 2, FALSE))</f>
        <v>Vegetariana Suprema</v>
      </c>
      <c r="C173" s="36" t="s">
        <v>25</v>
      </c>
      <c r="D173" s="111">
        <v>0.1</v>
      </c>
      <c r="E173" s="36" t="s">
        <v>10</v>
      </c>
      <c r="F173" s="36">
        <v>8.5</v>
      </c>
      <c r="G173" s="36">
        <f t="shared" si="2"/>
        <v>0.85000000000000009</v>
      </c>
      <c r="H173" s="33">
        <f>IF(tbl_FichaTecnica[[#This Row],[ID]]="", "", SUMIF(tbl_FichaTecnica[ID], tbl_FichaTecnica[[#This Row],[ID]], tbl_FichaTecnica[Custo Parcial]))</f>
        <v>21.023</v>
      </c>
    </row>
    <row r="174" spans="1:8" ht="16.5" x14ac:dyDescent="0.25">
      <c r="A174" s="42">
        <v>30</v>
      </c>
      <c r="B174" s="33" t="str">
        <f>IF(A174="", "", VLOOKUP(A174, tbl_Pizzas[[ID]:[Nome]], 2, FALSE))</f>
        <v>Vegetariana Suprema</v>
      </c>
      <c r="C174" s="33" t="s">
        <v>23</v>
      </c>
      <c r="D174" s="112">
        <v>0.08</v>
      </c>
      <c r="E174" s="33" t="s">
        <v>10</v>
      </c>
      <c r="F174" s="33">
        <v>7.8</v>
      </c>
      <c r="G174" s="33">
        <f t="shared" si="2"/>
        <v>0.624</v>
      </c>
      <c r="H174" s="33">
        <f>IF(tbl_FichaTecnica[[#This Row],[ID]]="", "", SUMIF(tbl_FichaTecnica[ID], tbl_FichaTecnica[[#This Row],[ID]], tbl_FichaTecnica[Custo Parcial]))</f>
        <v>21.023</v>
      </c>
    </row>
    <row r="175" spans="1:8" ht="16.5" x14ac:dyDescent="0.25">
      <c r="A175" s="42">
        <v>30</v>
      </c>
      <c r="B175" s="33" t="str">
        <f>IF(A175="", "", VLOOKUP(A175, tbl_Pizzas[[ID]:[Nome]], 2, FALSE))</f>
        <v>Vegetariana Suprema</v>
      </c>
      <c r="C175" s="33" t="s">
        <v>71</v>
      </c>
      <c r="D175" s="112">
        <v>7.0000000000000007E-2</v>
      </c>
      <c r="E175" s="33" t="s">
        <v>10</v>
      </c>
      <c r="F175" s="33">
        <v>10.199999999999999</v>
      </c>
      <c r="G175" s="33">
        <f t="shared" si="2"/>
        <v>0.71399999999999997</v>
      </c>
      <c r="H175" s="33">
        <f>IF(tbl_FichaTecnica[[#This Row],[ID]]="", "", SUMIF(tbl_FichaTecnica[ID], tbl_FichaTecnica[[#This Row],[ID]], tbl_FichaTecnica[Custo Parcial]))</f>
        <v>21.023</v>
      </c>
    </row>
    <row r="176" spans="1:8" ht="16.5" x14ac:dyDescent="0.25">
      <c r="A176" s="43">
        <v>30</v>
      </c>
      <c r="B176" s="33" t="str">
        <f>IF(A176="", "", VLOOKUP(A176, tbl_Pizzas[[ID]:[Nome]], 2, FALSE))</f>
        <v>Vegetariana Suprema</v>
      </c>
      <c r="C176" s="36" t="s">
        <v>28</v>
      </c>
      <c r="D176" s="111">
        <v>0.05</v>
      </c>
      <c r="E176" s="36" t="s">
        <v>10</v>
      </c>
      <c r="F176" s="36">
        <v>25</v>
      </c>
      <c r="G176" s="36">
        <f t="shared" si="2"/>
        <v>1.25</v>
      </c>
      <c r="H176" s="33">
        <f>IF(tbl_FichaTecnica[[#This Row],[ID]]="", "", SUMIF(tbl_FichaTecnica[ID], tbl_FichaTecnica[[#This Row],[ID]], tbl_FichaTecnica[Custo Parcial]))</f>
        <v>21.023</v>
      </c>
    </row>
    <row r="177" spans="1:8" ht="16.5" x14ac:dyDescent="0.25">
      <c r="A177" s="42"/>
      <c r="B177" s="33" t="str">
        <f>IF(A177="", "", VLOOKUP(A177, tbl_Pizzas[[ID]:[Nome]], 2, FALSE))</f>
        <v/>
      </c>
      <c r="C177" s="33"/>
      <c r="D177" s="112"/>
      <c r="E177" s="33"/>
      <c r="F177" s="33" t="s">
        <v>337</v>
      </c>
      <c r="G177" s="33" t="str">
        <f t="shared" si="2"/>
        <v/>
      </c>
      <c r="H177" s="33" t="str">
        <f>IF(tbl_FichaTecnica[[#This Row],[ID]]="", "", SUMIF(tbl_FichaTecnica[ID], tbl_FichaTecnica[[#This Row],[ID]], tbl_FichaTecnica[Custo Parcial]))</f>
        <v/>
      </c>
    </row>
    <row r="178" spans="1:8" ht="16.5" x14ac:dyDescent="0.25">
      <c r="A178" s="43">
        <v>31</v>
      </c>
      <c r="B178" s="33" t="str">
        <f>IF(A178="", "", VLOOKUP(A178, tbl_Pizzas[[ID]:[Nome]], 2, FALSE))</f>
        <v>Lombo com Catupiry</v>
      </c>
      <c r="C178" s="36" t="s">
        <v>9</v>
      </c>
      <c r="D178" s="111">
        <v>1</v>
      </c>
      <c r="E178" s="36" t="s">
        <v>14</v>
      </c>
      <c r="F178" s="36">
        <v>6.8</v>
      </c>
      <c r="G178" s="36">
        <f t="shared" si="2"/>
        <v>6.8</v>
      </c>
      <c r="H178" s="33">
        <f>IF(tbl_FichaTecnica[[#This Row],[ID]]="", "", SUMIF(tbl_FichaTecnica[ID], tbl_FichaTecnica[[#This Row],[ID]], tbl_FichaTecnica[Custo Parcial]))</f>
        <v>33.341000000000001</v>
      </c>
    </row>
    <row r="179" spans="1:8" ht="16.5" x14ac:dyDescent="0.25">
      <c r="A179" s="42">
        <v>31</v>
      </c>
      <c r="B179" s="33" t="str">
        <f>IF(A179="", "", VLOOKUP(A179, tbl_Pizzas[[ID]:[Nome]], 2, FALSE))</f>
        <v>Lombo com Catupiry</v>
      </c>
      <c r="C179" s="33" t="s">
        <v>15</v>
      </c>
      <c r="D179" s="112">
        <v>0.15</v>
      </c>
      <c r="E179" s="33" t="s">
        <v>12</v>
      </c>
      <c r="F179" s="33">
        <v>13.9</v>
      </c>
      <c r="G179" s="33">
        <f t="shared" si="2"/>
        <v>2.085</v>
      </c>
      <c r="H179" s="33">
        <f>IF(tbl_FichaTecnica[[#This Row],[ID]]="", "", SUMIF(tbl_FichaTecnica[ID], tbl_FichaTecnica[[#This Row],[ID]], tbl_FichaTecnica[Custo Parcial]))</f>
        <v>33.341000000000001</v>
      </c>
    </row>
    <row r="180" spans="1:8" ht="16.5" x14ac:dyDescent="0.25">
      <c r="A180" s="42">
        <v>31</v>
      </c>
      <c r="B180" s="33" t="str">
        <f>IF(A180="", "", VLOOKUP(A180, tbl_Pizzas[[ID]:[Nome]], 2, FALSE))</f>
        <v>Lombo com Catupiry</v>
      </c>
      <c r="C180" s="33" t="s">
        <v>17</v>
      </c>
      <c r="D180" s="112">
        <v>0.2</v>
      </c>
      <c r="E180" s="33" t="s">
        <v>10</v>
      </c>
      <c r="F180" s="33">
        <v>43.5</v>
      </c>
      <c r="G180" s="33">
        <f t="shared" si="2"/>
        <v>8.7000000000000011</v>
      </c>
      <c r="H180" s="33">
        <f>IF(tbl_FichaTecnica[[#This Row],[ID]]="", "", SUMIF(tbl_FichaTecnica[ID], tbl_FichaTecnica[[#This Row],[ID]], tbl_FichaTecnica[Custo Parcial]))</f>
        <v>33.341000000000001</v>
      </c>
    </row>
    <row r="181" spans="1:8" ht="16.5" x14ac:dyDescent="0.25">
      <c r="A181" s="43">
        <v>31</v>
      </c>
      <c r="B181" s="33" t="str">
        <f>IF(A181="", "", VLOOKUP(A181, tbl_Pizzas[[ID]:[Nome]], 2, FALSE))</f>
        <v>Lombo com Catupiry</v>
      </c>
      <c r="C181" s="36" t="s">
        <v>64</v>
      </c>
      <c r="D181" s="111">
        <v>0.15</v>
      </c>
      <c r="E181" s="36" t="s">
        <v>10</v>
      </c>
      <c r="F181" s="36">
        <v>59</v>
      </c>
      <c r="G181" s="36">
        <f t="shared" si="2"/>
        <v>8.85</v>
      </c>
      <c r="H181" s="33">
        <f>IF(tbl_FichaTecnica[[#This Row],[ID]]="", "", SUMIF(tbl_FichaTecnica[ID], tbl_FichaTecnica[[#This Row],[ID]], tbl_FichaTecnica[Custo Parcial]))</f>
        <v>33.341000000000001</v>
      </c>
    </row>
    <row r="182" spans="1:8" ht="16.5" x14ac:dyDescent="0.25">
      <c r="A182" s="42">
        <v>31</v>
      </c>
      <c r="B182" s="33" t="str">
        <f>IF(A182="", "", VLOOKUP(A182, tbl_Pizzas[[ID]:[Nome]], 2, FALSE))</f>
        <v>Lombo com Catupiry</v>
      </c>
      <c r="C182" s="33" t="s">
        <v>31</v>
      </c>
      <c r="D182" s="112">
        <v>0.12</v>
      </c>
      <c r="E182" s="33" t="s">
        <v>10</v>
      </c>
      <c r="F182" s="33">
        <v>53</v>
      </c>
      <c r="G182" s="33">
        <f t="shared" si="2"/>
        <v>6.3599999999999994</v>
      </c>
      <c r="H182" s="33">
        <f>IF(tbl_FichaTecnica[[#This Row],[ID]]="", "", SUMIF(tbl_FichaTecnica[ID], tbl_FichaTecnica[[#This Row],[ID]], tbl_FichaTecnica[Custo Parcial]))</f>
        <v>33.341000000000001</v>
      </c>
    </row>
    <row r="183" spans="1:8" ht="16.5" x14ac:dyDescent="0.25">
      <c r="A183" s="43">
        <v>31</v>
      </c>
      <c r="B183" s="33" t="str">
        <f>IF(A183="", "", VLOOKUP(A183, tbl_Pizzas[[ID]:[Nome]], 2, FALSE))</f>
        <v>Lombo com Catupiry</v>
      </c>
      <c r="C183" s="36" t="s">
        <v>23</v>
      </c>
      <c r="D183" s="111">
        <v>7.0000000000000007E-2</v>
      </c>
      <c r="E183" s="36" t="s">
        <v>10</v>
      </c>
      <c r="F183" s="36">
        <v>7.8</v>
      </c>
      <c r="G183" s="36">
        <f t="shared" si="2"/>
        <v>0.54600000000000004</v>
      </c>
      <c r="H183" s="33">
        <f>IF(tbl_FichaTecnica[[#This Row],[ID]]="", "", SUMIF(tbl_FichaTecnica[ID], tbl_FichaTecnica[[#This Row],[ID]], tbl_FichaTecnica[Custo Parcial]))</f>
        <v>33.341000000000001</v>
      </c>
    </row>
    <row r="184" spans="1:8" ht="16.5" x14ac:dyDescent="0.25">
      <c r="A184" s="42"/>
      <c r="B184" s="33" t="str">
        <f>IF(A184="", "", VLOOKUP(A184, tbl_Pizzas[[ID]:[Nome]], 2, FALSE))</f>
        <v/>
      </c>
      <c r="C184" s="33"/>
      <c r="D184" s="112"/>
      <c r="E184" s="33"/>
      <c r="F184" s="33" t="s">
        <v>337</v>
      </c>
      <c r="G184" s="33" t="str">
        <f t="shared" si="2"/>
        <v/>
      </c>
      <c r="H184" s="33" t="str">
        <f>IF(tbl_FichaTecnica[[#This Row],[ID]]="", "", SUMIF(tbl_FichaTecnica[ID], tbl_FichaTecnica[[#This Row],[ID]], tbl_FichaTecnica[Custo Parcial]))</f>
        <v/>
      </c>
    </row>
    <row r="185" spans="1:8" ht="16.5" x14ac:dyDescent="0.25">
      <c r="A185" s="42">
        <v>32</v>
      </c>
      <c r="B185" s="33" t="str">
        <f>IF(A185="", "", VLOOKUP(A185, tbl_Pizzas[[ID]:[Nome]], 2, FALSE))</f>
        <v>Três Queijos com Pepperoni</v>
      </c>
      <c r="C185" s="33" t="s">
        <v>9</v>
      </c>
      <c r="D185" s="112">
        <v>1</v>
      </c>
      <c r="E185" s="33" t="s">
        <v>14</v>
      </c>
      <c r="F185" s="33">
        <v>6.8</v>
      </c>
      <c r="G185" s="33">
        <f t="shared" si="2"/>
        <v>6.8</v>
      </c>
      <c r="H185" s="33">
        <f>IF(tbl_FichaTecnica[[#This Row],[ID]]="", "", SUMIF(tbl_FichaTecnica[ID], tbl_FichaTecnica[[#This Row],[ID]], tbl_FichaTecnica[Custo Parcial]))</f>
        <v>29.58</v>
      </c>
    </row>
    <row r="186" spans="1:8" ht="16.5" x14ac:dyDescent="0.25">
      <c r="A186" s="43">
        <v>32</v>
      </c>
      <c r="B186" s="33" t="str">
        <f>IF(A186="", "", VLOOKUP(A186, tbl_Pizzas[[ID]:[Nome]], 2, FALSE))</f>
        <v>Três Queijos com Pepperoni</v>
      </c>
      <c r="C186" s="36" t="s">
        <v>15</v>
      </c>
      <c r="D186" s="111">
        <v>0.15</v>
      </c>
      <c r="E186" s="36" t="s">
        <v>12</v>
      </c>
      <c r="F186" s="36">
        <v>13.9</v>
      </c>
      <c r="G186" s="36">
        <f t="shared" si="2"/>
        <v>2.085</v>
      </c>
      <c r="H186" s="33">
        <f>IF(tbl_FichaTecnica[[#This Row],[ID]]="", "", SUMIF(tbl_FichaTecnica[ID], tbl_FichaTecnica[[#This Row],[ID]], tbl_FichaTecnica[Custo Parcial]))</f>
        <v>29.58</v>
      </c>
    </row>
    <row r="187" spans="1:8" ht="16.5" x14ac:dyDescent="0.25">
      <c r="A187" s="42">
        <v>32</v>
      </c>
      <c r="B187" s="33" t="str">
        <f>IF(A187="", "", VLOOKUP(A187, tbl_Pizzas[[ID]:[Nome]], 2, FALSE))</f>
        <v>Três Queijos com Pepperoni</v>
      </c>
      <c r="C187" s="33" t="s">
        <v>17</v>
      </c>
      <c r="D187" s="112">
        <v>0.25</v>
      </c>
      <c r="E187" s="33" t="s">
        <v>10</v>
      </c>
      <c r="F187" s="33">
        <v>43.5</v>
      </c>
      <c r="G187" s="33">
        <f t="shared" si="2"/>
        <v>10.875</v>
      </c>
      <c r="H187" s="33">
        <f>IF(tbl_FichaTecnica[[#This Row],[ID]]="", "", SUMIF(tbl_FichaTecnica[ID], tbl_FichaTecnica[[#This Row],[ID]], tbl_FichaTecnica[Custo Parcial]))</f>
        <v>29.58</v>
      </c>
    </row>
    <row r="188" spans="1:8" ht="16.5" x14ac:dyDescent="0.25">
      <c r="A188" s="43">
        <v>32</v>
      </c>
      <c r="B188" s="33" t="str">
        <f>IF(A188="", "", VLOOKUP(A188, tbl_Pizzas[[ID]:[Nome]], 2, FALSE))</f>
        <v>Três Queijos com Pepperoni</v>
      </c>
      <c r="C188" s="36" t="s">
        <v>61</v>
      </c>
      <c r="D188" s="111">
        <v>0.1</v>
      </c>
      <c r="E188" s="36" t="s">
        <v>10</v>
      </c>
      <c r="F188" s="36">
        <v>47</v>
      </c>
      <c r="G188" s="36">
        <f t="shared" si="2"/>
        <v>4.7</v>
      </c>
      <c r="H188" s="33">
        <f>IF(tbl_FichaTecnica[[#This Row],[ID]]="", "", SUMIF(tbl_FichaTecnica[ID], tbl_FichaTecnica[[#This Row],[ID]], tbl_FichaTecnica[Custo Parcial]))</f>
        <v>29.58</v>
      </c>
    </row>
    <row r="189" spans="1:8" ht="16.5" x14ac:dyDescent="0.25">
      <c r="A189" s="42">
        <v>32</v>
      </c>
      <c r="B189" s="33" t="str">
        <f>IF(A189="", "", VLOOKUP(A189, tbl_Pizzas[[ID]:[Nome]], 2, FALSE))</f>
        <v>Três Queijos com Pepperoni</v>
      </c>
      <c r="C189" s="33" t="s">
        <v>18</v>
      </c>
      <c r="D189" s="112">
        <v>0.08</v>
      </c>
      <c r="E189" s="33" t="s">
        <v>10</v>
      </c>
      <c r="F189" s="33">
        <v>64</v>
      </c>
      <c r="G189" s="33">
        <f t="shared" si="2"/>
        <v>5.12</v>
      </c>
      <c r="H189" s="33">
        <f>IF(tbl_FichaTecnica[[#This Row],[ID]]="", "", SUMIF(tbl_FichaTecnica[ID], tbl_FichaTecnica[[#This Row],[ID]], tbl_FichaTecnica[Custo Parcial]))</f>
        <v>29.58</v>
      </c>
    </row>
    <row r="190" spans="1:8" ht="16.5" x14ac:dyDescent="0.25">
      <c r="A190" s="42"/>
      <c r="B190" s="33" t="str">
        <f>IF(A190="", "", VLOOKUP(A190, tbl_Pizzas[[ID]:[Nome]], 2, FALSE))</f>
        <v/>
      </c>
      <c r="C190" s="33"/>
      <c r="D190" s="112"/>
      <c r="E190" s="33"/>
      <c r="F190" s="33" t="s">
        <v>337</v>
      </c>
      <c r="G190" s="33" t="str">
        <f t="shared" si="2"/>
        <v/>
      </c>
      <c r="H190" s="33" t="str">
        <f>IF(tbl_FichaTecnica[[#This Row],[ID]]="", "", SUMIF(tbl_FichaTecnica[ID], tbl_FichaTecnica[[#This Row],[ID]], tbl_FichaTecnica[Custo Parcial]))</f>
        <v/>
      </c>
    </row>
    <row r="191" spans="1:8" ht="16.5" x14ac:dyDescent="0.25">
      <c r="A191" s="43">
        <v>33</v>
      </c>
      <c r="B191" s="33" t="str">
        <f>IF(A191="", "", VLOOKUP(A191, tbl_Pizzas[[ID]:[Nome]], 2, FALSE))</f>
        <v>Doce de Leite com Chocolate</v>
      </c>
      <c r="C191" s="36" t="s">
        <v>9</v>
      </c>
      <c r="D191" s="111">
        <v>1</v>
      </c>
      <c r="E191" s="36" t="s">
        <v>14</v>
      </c>
      <c r="F191" s="36">
        <v>6.8</v>
      </c>
      <c r="G191" s="36">
        <f t="shared" si="2"/>
        <v>6.8</v>
      </c>
      <c r="H191" s="33">
        <f>IF(tbl_FichaTecnica[[#This Row],[ID]]="", "", SUMIF(tbl_FichaTecnica[ID], tbl_FichaTecnica[[#This Row],[ID]], tbl_FichaTecnica[Custo Parcial]))</f>
        <v>21.389999999999997</v>
      </c>
    </row>
    <row r="192" spans="1:8" ht="16.5" x14ac:dyDescent="0.25">
      <c r="A192" s="42">
        <v>33</v>
      </c>
      <c r="B192" s="33" t="str">
        <f>IF(A192="", "", VLOOKUP(A192, tbl_Pizzas[[ID]:[Nome]], 2, FALSE))</f>
        <v>Doce de Leite com Chocolate</v>
      </c>
      <c r="C192" s="33" t="s">
        <v>143</v>
      </c>
      <c r="D192" s="112">
        <v>0.18</v>
      </c>
      <c r="E192" s="33" t="s">
        <v>10</v>
      </c>
      <c r="F192" s="33">
        <v>28</v>
      </c>
      <c r="G192" s="33">
        <f t="shared" si="2"/>
        <v>5.04</v>
      </c>
      <c r="H192" s="33">
        <f>IF(tbl_FichaTecnica[[#This Row],[ID]]="", "", SUMIF(tbl_FichaTecnica[ID], tbl_FichaTecnica[[#This Row],[ID]], tbl_FichaTecnica[Custo Parcial]))</f>
        <v>21.389999999999997</v>
      </c>
    </row>
    <row r="193" spans="1:8" ht="16.5" x14ac:dyDescent="0.25">
      <c r="A193" s="43">
        <v>33</v>
      </c>
      <c r="B193" s="33" t="str">
        <f>IF(A193="", "", VLOOKUP(A193, tbl_Pizzas[[ID]:[Nome]], 2, FALSE))</f>
        <v>Doce de Leite com Chocolate</v>
      </c>
      <c r="C193" s="36" t="s">
        <v>32</v>
      </c>
      <c r="D193" s="111">
        <v>0.15</v>
      </c>
      <c r="E193" s="36" t="s">
        <v>10</v>
      </c>
      <c r="F193" s="36">
        <v>37.5</v>
      </c>
      <c r="G193" s="36">
        <f t="shared" si="2"/>
        <v>5.625</v>
      </c>
      <c r="H193" s="33">
        <f>IF(tbl_FichaTecnica[[#This Row],[ID]]="", "", SUMIF(tbl_FichaTecnica[ID], tbl_FichaTecnica[[#This Row],[ID]], tbl_FichaTecnica[Custo Parcial]))</f>
        <v>21.389999999999997</v>
      </c>
    </row>
    <row r="194" spans="1:8" ht="16.5" x14ac:dyDescent="0.25">
      <c r="A194" s="42">
        <v>33</v>
      </c>
      <c r="B194" s="33" t="str">
        <f>IF(A194="", "", VLOOKUP(A194, tbl_Pizzas[[ID]:[Nome]], 2, FALSE))</f>
        <v>Doce de Leite com Chocolate</v>
      </c>
      <c r="C194" s="33" t="s">
        <v>34</v>
      </c>
      <c r="D194" s="112">
        <v>2</v>
      </c>
      <c r="E194" s="33" t="s">
        <v>14</v>
      </c>
      <c r="F194" s="33">
        <v>1.45</v>
      </c>
      <c r="G194" s="33">
        <f t="shared" si="2"/>
        <v>2.9</v>
      </c>
      <c r="H194" s="33">
        <f>IF(tbl_FichaTecnica[[#This Row],[ID]]="", "", SUMIF(tbl_FichaTecnica[ID], tbl_FichaTecnica[[#This Row],[ID]], tbl_FichaTecnica[Custo Parcial]))</f>
        <v>21.389999999999997</v>
      </c>
    </row>
    <row r="195" spans="1:8" ht="16.5" x14ac:dyDescent="0.25">
      <c r="A195" s="42">
        <v>33</v>
      </c>
      <c r="B195" s="33" t="str">
        <f>IF(A195="", "", VLOOKUP(A195, tbl_Pizzas[[ID]:[Nome]], 2, FALSE))</f>
        <v>Doce de Leite com Chocolate</v>
      </c>
      <c r="C195" s="33" t="s">
        <v>35</v>
      </c>
      <c r="D195" s="112">
        <v>0.05</v>
      </c>
      <c r="E195" s="33" t="s">
        <v>10</v>
      </c>
      <c r="F195" s="33">
        <v>20.5</v>
      </c>
      <c r="G195" s="33">
        <f t="shared" si="2"/>
        <v>1.0250000000000001</v>
      </c>
      <c r="H195" s="33">
        <f>IF(tbl_FichaTecnica[[#This Row],[ID]]="", "", SUMIF(tbl_FichaTecnica[ID], tbl_FichaTecnica[[#This Row],[ID]], tbl_FichaTecnica[Custo Parcial]))</f>
        <v>21.389999999999997</v>
      </c>
    </row>
    <row r="196" spans="1:8" ht="16.5" x14ac:dyDescent="0.25">
      <c r="A196" s="43"/>
      <c r="B196" s="33" t="str">
        <f>IF(A196="", "", VLOOKUP(A196, tbl_Pizzas[[ID]:[Nome]], 2, FALSE))</f>
        <v/>
      </c>
      <c r="C196" s="36"/>
      <c r="D196" s="111"/>
      <c r="E196" s="36"/>
      <c r="F196" s="36" t="s">
        <v>337</v>
      </c>
      <c r="G196" s="36" t="str">
        <f t="shared" si="2"/>
        <v/>
      </c>
      <c r="H196" s="33" t="str">
        <f>IF(tbl_FichaTecnica[[#This Row],[ID]]="", "", SUMIF(tbl_FichaTecnica[ID], tbl_FichaTecnica[[#This Row],[ID]], tbl_FichaTecnica[Custo Parcial]))</f>
        <v/>
      </c>
    </row>
    <row r="197" spans="1:8" ht="16.5" x14ac:dyDescent="0.25">
      <c r="A197" s="42">
        <v>34</v>
      </c>
      <c r="B197" s="33" t="str">
        <f>IF(A197="", "", VLOOKUP(A197, tbl_Pizzas[[ID]:[Nome]], 2, FALSE))</f>
        <v>Presunto Parma Especial</v>
      </c>
      <c r="C197" s="33" t="s">
        <v>9</v>
      </c>
      <c r="D197" s="112">
        <v>1</v>
      </c>
      <c r="E197" s="33" t="s">
        <v>14</v>
      </c>
      <c r="F197" s="33">
        <v>6.8</v>
      </c>
      <c r="G197" s="33">
        <f t="shared" si="2"/>
        <v>6.8</v>
      </c>
      <c r="H197" s="33">
        <f>IF(tbl_FichaTecnica[[#This Row],[ID]]="", "", SUMIF(tbl_FichaTecnica[ID], tbl_FichaTecnica[[#This Row],[ID]], tbl_FichaTecnica[Custo Parcial]))</f>
        <v>28.345879999999998</v>
      </c>
    </row>
    <row r="198" spans="1:8" ht="16.5" x14ac:dyDescent="0.25">
      <c r="A198" s="43">
        <v>34</v>
      </c>
      <c r="B198" s="33" t="str">
        <f>IF(A198="", "", VLOOKUP(A198, tbl_Pizzas[[ID]:[Nome]], 2, FALSE))</f>
        <v>Presunto Parma Especial</v>
      </c>
      <c r="C198" s="36" t="s">
        <v>15</v>
      </c>
      <c r="D198" s="111">
        <v>0.15</v>
      </c>
      <c r="E198" s="36" t="s">
        <v>12</v>
      </c>
      <c r="F198" s="36">
        <v>13.9</v>
      </c>
      <c r="G198" s="36">
        <f t="shared" ref="G198:G208" si="3">IF(D198="", "", D198 * F198)</f>
        <v>2.085</v>
      </c>
      <c r="H198" s="33">
        <f>IF(tbl_FichaTecnica[[#This Row],[ID]]="", "", SUMIF(tbl_FichaTecnica[ID], tbl_FichaTecnica[[#This Row],[ID]], tbl_FichaTecnica[Custo Parcial]))</f>
        <v>28.345879999999998</v>
      </c>
    </row>
    <row r="199" spans="1:8" ht="16.5" x14ac:dyDescent="0.25">
      <c r="A199" s="42">
        <v>34</v>
      </c>
      <c r="B199" s="33" t="str">
        <f>IF(A199="", "", VLOOKUP(A199, tbl_Pizzas[[ID]:[Nome]], 2, FALSE))</f>
        <v>Presunto Parma Especial</v>
      </c>
      <c r="C199" s="33" t="s">
        <v>17</v>
      </c>
      <c r="D199" s="112">
        <v>0.22</v>
      </c>
      <c r="E199" s="33" t="s">
        <v>10</v>
      </c>
      <c r="F199" s="33">
        <v>43.5</v>
      </c>
      <c r="G199" s="33">
        <f t="shared" si="3"/>
        <v>9.57</v>
      </c>
      <c r="H199" s="33">
        <f>IF(tbl_FichaTecnica[[#This Row],[ID]]="", "", SUMIF(tbl_FichaTecnica[ID], tbl_FichaTecnica[[#This Row],[ID]], tbl_FichaTecnica[Custo Parcial]))</f>
        <v>28.345879999999998</v>
      </c>
    </row>
    <row r="200" spans="1:8" ht="16.5" x14ac:dyDescent="0.25">
      <c r="A200" s="42">
        <v>34</v>
      </c>
      <c r="B200" s="33" t="str">
        <f>IF(A200="", "", VLOOKUP(A200, tbl_Pizzas[[ID]:[Nome]], 2, FALSE))</f>
        <v>Presunto Parma Especial</v>
      </c>
      <c r="C200" s="33" t="s">
        <v>62</v>
      </c>
      <c r="D200" s="112">
        <v>0.12</v>
      </c>
      <c r="E200" s="33" t="s">
        <v>10</v>
      </c>
      <c r="F200" s="33">
        <v>72</v>
      </c>
      <c r="G200" s="33">
        <f t="shared" si="3"/>
        <v>8.64</v>
      </c>
      <c r="H200" s="33">
        <f>IF(tbl_FichaTecnica[[#This Row],[ID]]="", "", SUMIF(tbl_FichaTecnica[ID], tbl_FichaTecnica[[#This Row],[ID]], tbl_FichaTecnica[Custo Parcial]))</f>
        <v>28.345879999999998</v>
      </c>
    </row>
    <row r="201" spans="1:8" ht="16.5" x14ac:dyDescent="0.25">
      <c r="A201" s="43">
        <v>34</v>
      </c>
      <c r="B201" s="33" t="str">
        <f>IF(A201="", "", VLOOKUP(A201, tbl_Pizzas[[ID]:[Nome]], 2, FALSE))</f>
        <v>Presunto Parma Especial</v>
      </c>
      <c r="C201" s="36" t="s">
        <v>26</v>
      </c>
      <c r="D201" s="111">
        <v>4.0000000000000001E-3</v>
      </c>
      <c r="E201" s="36" t="s">
        <v>8</v>
      </c>
      <c r="F201" s="36">
        <v>0.22</v>
      </c>
      <c r="G201" s="36">
        <f t="shared" si="3"/>
        <v>8.8000000000000003E-4</v>
      </c>
      <c r="H201" s="33">
        <f>IF(tbl_FichaTecnica[[#This Row],[ID]]="", "", SUMIF(tbl_FichaTecnica[ID], tbl_FichaTecnica[[#This Row],[ID]], tbl_FichaTecnica[Custo Parcial]))</f>
        <v>28.345879999999998</v>
      </c>
    </row>
    <row r="202" spans="1:8" ht="16.5" x14ac:dyDescent="0.25">
      <c r="A202" s="42">
        <v>34</v>
      </c>
      <c r="B202" s="33" t="str">
        <f>IF(A202="", "", VLOOKUP(A202, tbl_Pizzas[[ID]:[Nome]], 2, FALSE))</f>
        <v>Presunto Parma Especial</v>
      </c>
      <c r="C202" s="33" t="s">
        <v>28</v>
      </c>
      <c r="D202" s="112">
        <v>0.05</v>
      </c>
      <c r="E202" s="33" t="s">
        <v>10</v>
      </c>
      <c r="F202" s="33">
        <v>25</v>
      </c>
      <c r="G202" s="33">
        <f t="shared" si="3"/>
        <v>1.25</v>
      </c>
      <c r="H202" s="33">
        <f>IF(tbl_FichaTecnica[[#This Row],[ID]]="", "", SUMIF(tbl_FichaTecnica[ID], tbl_FichaTecnica[[#This Row],[ID]], tbl_FichaTecnica[Custo Parcial]))</f>
        <v>28.345879999999998</v>
      </c>
    </row>
    <row r="203" spans="1:8" ht="16.5" x14ac:dyDescent="0.25">
      <c r="A203" s="43"/>
      <c r="B203" s="33" t="str">
        <f>IF(A203="", "", VLOOKUP(A203, tbl_Pizzas[[ID]:[Nome]], 2, FALSE))</f>
        <v/>
      </c>
      <c r="C203" s="36"/>
      <c r="D203" s="111"/>
      <c r="E203" s="36"/>
      <c r="F203" s="36" t="s">
        <v>337</v>
      </c>
      <c r="G203" s="36" t="str">
        <f t="shared" si="3"/>
        <v/>
      </c>
      <c r="H203" s="33" t="str">
        <f>IF(tbl_FichaTecnica[[#This Row],[ID]]="", "", SUMIF(tbl_FichaTecnica[ID], tbl_FichaTecnica[[#This Row],[ID]], tbl_FichaTecnica[Custo Parcial]))</f>
        <v/>
      </c>
    </row>
    <row r="204" spans="1:8" ht="16.5" x14ac:dyDescent="0.25">
      <c r="A204" s="42">
        <v>35</v>
      </c>
      <c r="B204" s="33" t="str">
        <f>IF(A204="", "", VLOOKUP(A204, tbl_Pizzas[[ID]:[Nome]], 2, FALSE))</f>
        <v>Brigadeiro com Banana</v>
      </c>
      <c r="C204" s="33" t="s">
        <v>9</v>
      </c>
      <c r="D204" s="112">
        <v>1</v>
      </c>
      <c r="E204" s="33" t="s">
        <v>14</v>
      </c>
      <c r="F204" s="33">
        <v>6.8</v>
      </c>
      <c r="G204" s="33">
        <f t="shared" si="3"/>
        <v>6.8</v>
      </c>
      <c r="H204" s="33">
        <f>IF(tbl_FichaTecnica[[#This Row],[ID]]="", "", SUMIF(tbl_FichaTecnica[ID], tbl_FichaTecnica[[#This Row],[ID]], tbl_FichaTecnica[Custo Parcial]))</f>
        <v>16.745000000000001</v>
      </c>
    </row>
    <row r="205" spans="1:8" ht="16.5" x14ac:dyDescent="0.25">
      <c r="A205" s="42">
        <v>35</v>
      </c>
      <c r="B205" s="33" t="str">
        <f>IF(A205="", "", VLOOKUP(A205, tbl_Pizzas[[ID]:[Nome]], 2, FALSE))</f>
        <v>Brigadeiro com Banana</v>
      </c>
      <c r="C205" s="33" t="s">
        <v>73</v>
      </c>
      <c r="D205" s="112">
        <v>0.15</v>
      </c>
      <c r="E205" s="33" t="s">
        <v>10</v>
      </c>
      <c r="F205" s="33">
        <v>33</v>
      </c>
      <c r="G205" s="33">
        <f t="shared" si="3"/>
        <v>4.95</v>
      </c>
      <c r="H205" s="33">
        <f>IF(tbl_FichaTecnica[[#This Row],[ID]]="", "", SUMIF(tbl_FichaTecnica[ID], tbl_FichaTecnica[[#This Row],[ID]], tbl_FichaTecnica[Custo Parcial]))</f>
        <v>16.745000000000001</v>
      </c>
    </row>
    <row r="206" spans="1:8" ht="16.5" x14ac:dyDescent="0.25">
      <c r="A206" s="43">
        <v>35</v>
      </c>
      <c r="B206" s="33" t="str">
        <f>IF(A206="", "", VLOOKUP(A206, tbl_Pizzas[[ID]:[Nome]], 2, FALSE))</f>
        <v>Brigadeiro com Banana</v>
      </c>
      <c r="C206" s="36" t="s">
        <v>34</v>
      </c>
      <c r="D206" s="111">
        <v>2</v>
      </c>
      <c r="E206" s="36" t="s">
        <v>14</v>
      </c>
      <c r="F206" s="36">
        <v>1.45</v>
      </c>
      <c r="G206" s="36">
        <f t="shared" si="3"/>
        <v>2.9</v>
      </c>
      <c r="H206" s="33">
        <f>IF(tbl_FichaTecnica[[#This Row],[ID]]="", "", SUMIF(tbl_FichaTecnica[ID], tbl_FichaTecnica[[#This Row],[ID]], tbl_FichaTecnica[Custo Parcial]))</f>
        <v>16.745000000000001</v>
      </c>
    </row>
    <row r="207" spans="1:8" ht="16.5" x14ac:dyDescent="0.25">
      <c r="A207" s="42">
        <v>35</v>
      </c>
      <c r="B207" s="33" t="str">
        <f>IF(A207="", "", VLOOKUP(A207, tbl_Pizzas[[ID]:[Nome]], 2, FALSE))</f>
        <v>Brigadeiro com Banana</v>
      </c>
      <c r="C207" s="33" t="s">
        <v>78</v>
      </c>
      <c r="D207" s="112">
        <v>0.05</v>
      </c>
      <c r="E207" s="33" t="s">
        <v>10</v>
      </c>
      <c r="F207" s="33">
        <v>25.5</v>
      </c>
      <c r="G207" s="33">
        <f t="shared" si="3"/>
        <v>1.2750000000000001</v>
      </c>
      <c r="H207" s="33">
        <f>IF(tbl_FichaTecnica[[#This Row],[ID]]="", "", SUMIF(tbl_FichaTecnica[ID], tbl_FichaTecnica[[#This Row],[ID]], tbl_FichaTecnica[Custo Parcial]))</f>
        <v>16.745000000000001</v>
      </c>
    </row>
    <row r="208" spans="1:8" ht="16.5" x14ac:dyDescent="0.25">
      <c r="A208" s="43">
        <v>35</v>
      </c>
      <c r="B208" s="33" t="str">
        <f>IF(A208="", "", VLOOKUP(A208, tbl_Pizzas[[ID]:[Nome]], 2, FALSE))</f>
        <v>Brigadeiro com Banana</v>
      </c>
      <c r="C208" s="36" t="s">
        <v>35</v>
      </c>
      <c r="D208" s="111">
        <v>0.04</v>
      </c>
      <c r="E208" s="36" t="s">
        <v>10</v>
      </c>
      <c r="F208" s="36">
        <v>20.5</v>
      </c>
      <c r="G208" s="36">
        <f t="shared" si="3"/>
        <v>0.82000000000000006</v>
      </c>
      <c r="H208" s="33">
        <f>IF(tbl_FichaTecnica[[#This Row],[ID]]="", "", SUMIF(tbl_FichaTecnica[ID], tbl_FichaTecnica[[#This Row],[ID]], tbl_FichaTecnica[Custo Parcial]))</f>
        <v>16.745000000000001</v>
      </c>
    </row>
    <row r="209" spans="1:8" ht="16.5" x14ac:dyDescent="0.25">
      <c r="A209" s="187"/>
      <c r="B209" s="33" t="str">
        <f>IF(A209="", "", VLOOKUP(A209, tbl_Pizzas[[ID]:[Nome]], 2, FALSE))</f>
        <v/>
      </c>
      <c r="C209" s="188"/>
      <c r="D209" s="189"/>
      <c r="E209" s="188"/>
      <c r="F209" s="188"/>
      <c r="G209" s="188" t="str">
        <f>IF(D209="", "", D209 * F209)</f>
        <v/>
      </c>
      <c r="H209" s="188" t="str">
        <f>IF(tbl_FichaTecnica[[#This Row],[ID]]="", "", SUMIF(tbl_FichaTecnica[ID], tbl_FichaTecnica[[#This Row],[ID]], tbl_FichaTecnica[Custo Parcial]))</f>
        <v/>
      </c>
    </row>
    <row r="210" spans="1:8" ht="16.5" x14ac:dyDescent="0.25">
      <c r="A210" s="42"/>
      <c r="B210" s="33"/>
      <c r="C210" s="33"/>
      <c r="D210" s="112"/>
      <c r="E210" s="33"/>
      <c r="F210" s="33"/>
      <c r="G210" s="33" t="str">
        <f>IF(D210&lt;&gt;"",D210*F210,"")</f>
        <v/>
      </c>
      <c r="H210" s="33" t="str">
        <f>IF(A210&lt;&gt;"",SUMIF(tbl_FichaTecnica[ID],A210,tbl_FichaTecnica[Custo Parcial]),"")</f>
        <v/>
      </c>
    </row>
    <row r="211" spans="1:8" ht="16.5" x14ac:dyDescent="0.25">
      <c r="A211" s="26"/>
      <c r="B211" s="113"/>
      <c r="C211" s="113"/>
      <c r="D211" s="117"/>
      <c r="E211" s="113"/>
      <c r="F211" s="113"/>
      <c r="G211" s="113" t="str">
        <f>IF(D211&lt;&gt;"",D211*F211,"")</f>
        <v/>
      </c>
      <c r="H211" s="113" t="str">
        <f>IF(A211&lt;&gt;"",SUMIF(tbl_FichaTecnica[ID],A211,tbl_FichaTecnica[Custo Parcial]),"")</f>
        <v/>
      </c>
    </row>
    <row r="212" spans="1:8" x14ac:dyDescent="0.25">
      <c r="A212" s="26"/>
      <c r="B212" s="26"/>
    </row>
  </sheetData>
  <mergeCells count="6">
    <mergeCell ref="J22:M22"/>
    <mergeCell ref="A1:H1"/>
    <mergeCell ref="J4:M4"/>
    <mergeCell ref="J9:M9"/>
    <mergeCell ref="J14:M14"/>
    <mergeCell ref="C2:F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873F-71FC-40C5-A078-C0771CC7FD5F}">
  <sheetPr codeName="Planilha1"/>
  <dimension ref="D4:D13"/>
  <sheetViews>
    <sheetView showGridLines="0" topLeftCell="A7" zoomScale="70" zoomScaleNormal="70" workbookViewId="0">
      <selection activeCell="L81" sqref="L81"/>
    </sheetView>
  </sheetViews>
  <sheetFormatPr defaultRowHeight="15" x14ac:dyDescent="0.25"/>
  <cols>
    <col min="1" max="16384" width="9.140625" style="204"/>
  </cols>
  <sheetData>
    <row r="4" spans="4:4" x14ac:dyDescent="0.25">
      <c r="D4" s="205"/>
    </row>
    <row r="5" spans="4:4" x14ac:dyDescent="0.25">
      <c r="D5" s="205"/>
    </row>
    <row r="9" spans="4:4" x14ac:dyDescent="0.25">
      <c r="D9" s="205"/>
    </row>
    <row r="11" spans="4:4" x14ac:dyDescent="0.25">
      <c r="D11" s="205"/>
    </row>
    <row r="13" spans="4:4" x14ac:dyDescent="0.25">
      <c r="D13" s="20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A5A1D-8FF5-49DF-98E8-5A970F18B853}">
  <sheetPr codeName="Planilha2"/>
  <dimension ref="A1:E14"/>
  <sheetViews>
    <sheetView showGridLines="0" zoomScale="46" workbookViewId="0">
      <selection activeCell="T28" sqref="R4:T28"/>
    </sheetView>
  </sheetViews>
  <sheetFormatPr defaultRowHeight="15" x14ac:dyDescent="0.25"/>
  <cols>
    <col min="1" max="16384" width="9.140625" style="204"/>
  </cols>
  <sheetData>
    <row r="1" spans="1:5" x14ac:dyDescent="0.25">
      <c r="A1" s="204" t="s">
        <v>46</v>
      </c>
      <c r="B1" s="204" t="s">
        <v>2</v>
      </c>
      <c r="D1" s="206" t="s">
        <v>366</v>
      </c>
      <c r="E1" s="204" t="s">
        <v>367</v>
      </c>
    </row>
    <row r="2" spans="1:5" x14ac:dyDescent="0.25">
      <c r="A2" s="204" t="s">
        <v>120</v>
      </c>
      <c r="B2" s="204">
        <v>10</v>
      </c>
      <c r="D2" s="206" t="s">
        <v>368</v>
      </c>
      <c r="E2" s="204">
        <v>423.96</v>
      </c>
    </row>
    <row r="3" spans="1:5" x14ac:dyDescent="0.25">
      <c r="A3" s="204" t="s">
        <v>53</v>
      </c>
      <c r="B3" s="204">
        <v>4</v>
      </c>
      <c r="D3" s="206" t="s">
        <v>369</v>
      </c>
      <c r="E3" s="204">
        <v>323.97000000000003</v>
      </c>
    </row>
    <row r="4" spans="1:5" x14ac:dyDescent="0.25">
      <c r="A4" s="204" t="s">
        <v>116</v>
      </c>
      <c r="B4" s="204">
        <v>4</v>
      </c>
      <c r="D4" s="206" t="s">
        <v>376</v>
      </c>
      <c r="E4" s="204">
        <v>263.97000000000003</v>
      </c>
    </row>
    <row r="5" spans="1:5" x14ac:dyDescent="0.25">
      <c r="A5" s="204" t="s">
        <v>18</v>
      </c>
      <c r="B5" s="204">
        <v>4</v>
      </c>
      <c r="D5" s="206" t="s">
        <v>377</v>
      </c>
      <c r="E5" s="204">
        <v>75.989999999999995</v>
      </c>
    </row>
    <row r="6" spans="1:5" x14ac:dyDescent="0.25">
      <c r="A6" s="204" t="s">
        <v>139</v>
      </c>
      <c r="B6" s="204">
        <v>4</v>
      </c>
      <c r="D6" s="206" t="s">
        <v>370</v>
      </c>
      <c r="E6" s="204">
        <v>769.94</v>
      </c>
    </row>
    <row r="7" spans="1:5" x14ac:dyDescent="0.25">
      <c r="D7" s="206" t="s">
        <v>371</v>
      </c>
      <c r="E7" s="204">
        <v>409.06</v>
      </c>
    </row>
    <row r="8" spans="1:5" x14ac:dyDescent="0.25">
      <c r="D8" s="206" t="s">
        <v>372</v>
      </c>
      <c r="E8" s="204">
        <v>539.96</v>
      </c>
    </row>
    <row r="9" spans="1:5" x14ac:dyDescent="0.25">
      <c r="D9" s="206" t="s">
        <v>378</v>
      </c>
      <c r="E9" s="204">
        <v>526.95000000000005</v>
      </c>
    </row>
    <row r="10" spans="1:5" x14ac:dyDescent="0.25">
      <c r="D10" s="206" t="s">
        <v>373</v>
      </c>
      <c r="E10" s="204">
        <v>560.94000000000005</v>
      </c>
    </row>
    <row r="11" spans="1:5" x14ac:dyDescent="0.25">
      <c r="D11" s="206" t="s">
        <v>379</v>
      </c>
      <c r="E11" s="204">
        <v>251.98</v>
      </c>
    </row>
    <row r="12" spans="1:5" x14ac:dyDescent="0.25">
      <c r="D12" s="206" t="s">
        <v>374</v>
      </c>
      <c r="E12" s="204">
        <v>836.93</v>
      </c>
    </row>
    <row r="13" spans="1:5" x14ac:dyDescent="0.25">
      <c r="D13" s="206" t="s">
        <v>380</v>
      </c>
      <c r="E13" s="204">
        <v>321.57</v>
      </c>
    </row>
    <row r="14" spans="1:5" x14ac:dyDescent="0.25">
      <c r="D14" s="206" t="s">
        <v>375</v>
      </c>
      <c r="E14" s="204">
        <v>2716.47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E61C7-4E02-4B4A-84AF-33FFA279BF36}">
  <sheetPr codeName="Planilha3"/>
  <dimension ref="A1:M33"/>
  <sheetViews>
    <sheetView zoomScale="69" workbookViewId="0">
      <selection activeCell="G5" sqref="G5"/>
    </sheetView>
  </sheetViews>
  <sheetFormatPr defaultRowHeight="15" x14ac:dyDescent="0.25"/>
  <cols>
    <col min="1" max="1" width="34.28515625" customWidth="1"/>
    <col min="2" max="2" width="19" customWidth="1"/>
    <col min="3" max="3" width="17.140625" bestFit="1" customWidth="1"/>
    <col min="5" max="5" width="34.28515625" customWidth="1"/>
    <col min="6" max="6" width="19" customWidth="1"/>
    <col min="7" max="7" width="15.28515625" customWidth="1"/>
    <col min="9" max="9" width="41.85546875" customWidth="1"/>
    <col min="10" max="11" width="8.5703125" customWidth="1"/>
    <col min="12" max="12" width="18.140625" customWidth="1"/>
    <col min="13" max="13" width="9.5703125" customWidth="1"/>
    <col min="14" max="18" width="13.28515625" customWidth="1"/>
  </cols>
  <sheetData>
    <row r="1" spans="1:13" ht="18.75" x14ac:dyDescent="0.3">
      <c r="A1" s="276" t="s">
        <v>338</v>
      </c>
      <c r="B1" s="250"/>
      <c r="C1" s="250"/>
      <c r="I1" s="279" t="s">
        <v>381</v>
      </c>
      <c r="J1" s="280"/>
      <c r="K1" s="280"/>
      <c r="L1" s="281"/>
      <c r="M1" s="218"/>
    </row>
    <row r="2" spans="1:13" x14ac:dyDescent="0.25">
      <c r="A2" t="s">
        <v>204</v>
      </c>
      <c r="B2" s="191">
        <f ca="1">TODAY()</f>
        <v>46127</v>
      </c>
      <c r="I2" s="213" t="s">
        <v>44</v>
      </c>
      <c r="J2" s="207" t="s">
        <v>146</v>
      </c>
      <c r="K2" s="207" t="s">
        <v>382</v>
      </c>
      <c r="L2" s="226" t="s">
        <v>44</v>
      </c>
      <c r="M2" s="227" t="s">
        <v>146</v>
      </c>
    </row>
    <row r="3" spans="1:13" x14ac:dyDescent="0.25">
      <c r="I3" s="214" t="s">
        <v>383</v>
      </c>
      <c r="J3" s="208">
        <v>30</v>
      </c>
      <c r="K3" s="209">
        <v>0.83</v>
      </c>
      <c r="L3" s="214" t="s">
        <v>183</v>
      </c>
      <c r="M3" s="219">
        <v>22</v>
      </c>
    </row>
    <row r="4" spans="1:13" x14ac:dyDescent="0.25">
      <c r="A4" s="192" t="s">
        <v>339</v>
      </c>
      <c r="B4" s="192" t="s">
        <v>340</v>
      </c>
      <c r="C4" s="192" t="s">
        <v>341</v>
      </c>
      <c r="I4" s="215" t="s">
        <v>384</v>
      </c>
      <c r="J4" s="210">
        <v>3</v>
      </c>
      <c r="K4" s="211">
        <v>0.08</v>
      </c>
      <c r="L4" s="215" t="s">
        <v>193</v>
      </c>
      <c r="M4" s="219">
        <v>2</v>
      </c>
    </row>
    <row r="5" spans="1:13" x14ac:dyDescent="0.25">
      <c r="A5" s="190" t="s">
        <v>342</v>
      </c>
      <c r="B5" s="193" t="s">
        <v>343</v>
      </c>
      <c r="C5" s="200">
        <f>SUM(Pedidos!I5:I31)</f>
        <v>19427.020000000004</v>
      </c>
      <c r="I5" s="216" t="s">
        <v>385</v>
      </c>
      <c r="J5" s="212">
        <v>3</v>
      </c>
      <c r="K5" s="217">
        <v>0.08</v>
      </c>
      <c r="L5" s="228" t="s">
        <v>195</v>
      </c>
      <c r="M5" s="219">
        <v>1</v>
      </c>
    </row>
    <row r="6" spans="1:13" x14ac:dyDescent="0.25">
      <c r="A6" s="190" t="s">
        <v>344</v>
      </c>
      <c r="B6" s="193" t="s">
        <v>345</v>
      </c>
      <c r="C6" s="199" cm="1">
        <f t="array" ref="C6">C5-SUMPRODUCT(Pedidos!G5:G31,IFERROR(VLOOKUP(Pedidos!F5:F31,FichaTecnica!B5:H210,7,FALSE),0))</f>
        <v>14950.289260000003</v>
      </c>
      <c r="L6" s="229" t="s">
        <v>198</v>
      </c>
      <c r="M6" s="220">
        <v>2</v>
      </c>
    </row>
    <row r="7" spans="1:13" x14ac:dyDescent="0.25">
      <c r="A7" s="190" t="s">
        <v>346</v>
      </c>
      <c r="B7" s="193" t="s">
        <v>347</v>
      </c>
      <c r="C7" s="196">
        <f>IF(C5=0,0,C6/C5)</f>
        <v>0.7695616342599122</v>
      </c>
    </row>
    <row r="8" spans="1:13" ht="18.75" x14ac:dyDescent="0.3">
      <c r="A8" s="190" t="s">
        <v>348</v>
      </c>
      <c r="B8" s="193" t="s">
        <v>349</v>
      </c>
      <c r="C8" s="200">
        <f>AVERAGE(Pedidos!I5:I31)</f>
        <v>719.51925925925946</v>
      </c>
      <c r="I8" s="221" t="s">
        <v>386</v>
      </c>
    </row>
    <row r="9" spans="1:13" x14ac:dyDescent="0.25">
      <c r="A9" s="190" t="s">
        <v>350</v>
      </c>
      <c r="B9" s="193" t="s">
        <v>351</v>
      </c>
      <c r="C9" s="197">
        <f ca="1">SUMIF(Pedidos!B5:B31,TODAY(),Pedidos!G5:G31)</f>
        <v>0</v>
      </c>
      <c r="I9" s="222" t="s">
        <v>387</v>
      </c>
    </row>
    <row r="10" spans="1:13" x14ac:dyDescent="0.25">
      <c r="I10" s="223" t="s">
        <v>388</v>
      </c>
    </row>
    <row r="11" spans="1:13" ht="15.75" x14ac:dyDescent="0.25">
      <c r="A11" s="277" t="s">
        <v>352</v>
      </c>
      <c r="B11" s="278"/>
      <c r="C11" s="278"/>
      <c r="E11" s="277" t="s">
        <v>359</v>
      </c>
      <c r="F11" s="250"/>
      <c r="G11" s="250"/>
      <c r="I11" s="224" t="s">
        <v>389</v>
      </c>
    </row>
    <row r="12" spans="1:13" x14ac:dyDescent="0.25">
      <c r="A12" s="198" t="s">
        <v>353</v>
      </c>
      <c r="B12" s="198" t="s">
        <v>201</v>
      </c>
      <c r="C12" s="198" t="s">
        <v>354</v>
      </c>
      <c r="E12" s="198" t="s">
        <v>360</v>
      </c>
      <c r="F12" s="198" t="s">
        <v>201</v>
      </c>
      <c r="G12" s="198" t="s">
        <v>354</v>
      </c>
      <c r="I12" s="225" t="s">
        <v>390</v>
      </c>
    </row>
    <row r="13" spans="1:13" x14ac:dyDescent="0.25">
      <c r="A13" t="s">
        <v>355</v>
      </c>
      <c r="B13" s="194">
        <f>SUMIF(Pedidos!L5:L31,"Delivery",Pedidos!I5:I31)</f>
        <v>2535.3579999999997</v>
      </c>
      <c r="C13" s="195">
        <f>IF(SUM(B13:B15)=0,0,B13/SUM($B$13:$B$15))</f>
        <v>0.1305067889980038</v>
      </c>
      <c r="E13" t="s">
        <v>361</v>
      </c>
      <c r="F13" s="194">
        <f>SUMIF(Pedidos!K5:K31,"PIX",Pedidos!I5:I31)</f>
        <v>3604.8959999999997</v>
      </c>
      <c r="G13" s="195">
        <f>IF(SUM(F13:F17)=0,0,F13/SUM($F$13:$F$17))</f>
        <v>0.1855609352335047</v>
      </c>
    </row>
    <row r="14" spans="1:13" x14ac:dyDescent="0.25">
      <c r="A14" t="s">
        <v>356</v>
      </c>
      <c r="B14" s="194">
        <f>SUMIF(Pedidos!L5:L31,"Retirada",Pedidos!I5:I31)</f>
        <v>15133.226999999999</v>
      </c>
      <c r="C14" s="195">
        <f>IF(SUM(B13:B15)=0,0,B14/SUM($B$13:$B$15))</f>
        <v>0.77897829929654672</v>
      </c>
      <c r="E14" t="s">
        <v>362</v>
      </c>
      <c r="F14" s="194">
        <f>SUMIF(Pedidos!K5:K31,"Dinheiro",Pedidos!I5:I31)</f>
        <v>1291.5940000000001</v>
      </c>
      <c r="G14" s="195">
        <f>IF(SUM(F13:F17)=0,0,F14/SUM($F$13:$F$17))</f>
        <v>6.6484411917010447E-2</v>
      </c>
    </row>
    <row r="15" spans="1:13" x14ac:dyDescent="0.25">
      <c r="A15" t="s">
        <v>357</v>
      </c>
      <c r="B15" s="194">
        <f>SUMIF(Pedidos!L5:L31,"Mesa",Pedidos!I5:I31)</f>
        <v>1758.4350000000002</v>
      </c>
      <c r="C15" s="195">
        <f>IF(SUM(B13:B15)=0,0,B15/SUM($B$13:$B$15))</f>
        <v>9.0514911705449425E-2</v>
      </c>
      <c r="E15" t="s">
        <v>363</v>
      </c>
      <c r="F15" s="194">
        <f>SUMIF(Pedidos!K5:K31,"Cartão Débito",Pedidos!I5:I31)</f>
        <v>1417.373</v>
      </c>
      <c r="G15" s="195">
        <f>IF(SUM(F13:F17)=0,0,F15/SUM($F$13:$F$17))</f>
        <v>7.2958848037424182E-2</v>
      </c>
    </row>
    <row r="16" spans="1:13" x14ac:dyDescent="0.25">
      <c r="A16" s="201" t="s">
        <v>358</v>
      </c>
      <c r="B16" s="202">
        <f>SUM(B13:B15)</f>
        <v>19427.02</v>
      </c>
      <c r="C16" s="203">
        <f>SUM(C13:C15)</f>
        <v>1</v>
      </c>
      <c r="E16" t="s">
        <v>364</v>
      </c>
      <c r="F16" s="194">
        <f>SUMIF(Pedidos!K5:K31,"Cartão Crédito",Pedidos!I5:I31)</f>
        <v>12537.212999999998</v>
      </c>
      <c r="G16" s="195">
        <f>IF(SUM(F13:F17)=0,0,F16/SUM($F$13:$F$17))</f>
        <v>0.64534926097775158</v>
      </c>
    </row>
    <row r="17" spans="1:7" x14ac:dyDescent="0.25">
      <c r="E17" t="s">
        <v>365</v>
      </c>
      <c r="F17" s="194">
        <f>SUMIF(Pedidos!K5:K31,"Vale Refeição",Pedidos!I5:I31)</f>
        <v>575.94399999999996</v>
      </c>
      <c r="G17" s="195">
        <f>IF(SUM(F13:F17)=0,0,F17/SUM($F$13:$F$17))</f>
        <v>2.9646543834309126E-2</v>
      </c>
    </row>
    <row r="18" spans="1:7" x14ac:dyDescent="0.25">
      <c r="A18" t="s">
        <v>182</v>
      </c>
      <c r="B18">
        <f>B13</f>
        <v>2535.3579999999997</v>
      </c>
      <c r="E18" s="201" t="s">
        <v>358</v>
      </c>
      <c r="F18" s="202">
        <f>SUM(F13:F17)</f>
        <v>19427.019999999997</v>
      </c>
      <c r="G18" s="203">
        <f>SUM(G13:G17)</f>
        <v>1</v>
      </c>
    </row>
    <row r="19" spans="1:7" x14ac:dyDescent="0.25">
      <c r="A19" t="s">
        <v>194</v>
      </c>
      <c r="B19">
        <f>B14</f>
        <v>15133.226999999999</v>
      </c>
    </row>
    <row r="20" spans="1:7" x14ac:dyDescent="0.25">
      <c r="A20" t="s">
        <v>188</v>
      </c>
      <c r="B20">
        <f>B15</f>
        <v>1758.4350000000002</v>
      </c>
      <c r="E20" t="s">
        <v>181</v>
      </c>
      <c r="F20">
        <f>F13</f>
        <v>3604.8959999999997</v>
      </c>
    </row>
    <row r="21" spans="1:7" x14ac:dyDescent="0.25">
      <c r="E21" t="s">
        <v>192</v>
      </c>
      <c r="F21">
        <f>F14</f>
        <v>1291.5940000000001</v>
      </c>
    </row>
    <row r="22" spans="1:7" x14ac:dyDescent="0.25">
      <c r="E22" t="s">
        <v>197</v>
      </c>
      <c r="F22">
        <f>F15</f>
        <v>1417.373</v>
      </c>
    </row>
    <row r="23" spans="1:7" x14ac:dyDescent="0.25">
      <c r="E23" t="s">
        <v>187</v>
      </c>
      <c r="F23">
        <f>F16</f>
        <v>12537.212999999998</v>
      </c>
    </row>
    <row r="24" spans="1:7" x14ac:dyDescent="0.25">
      <c r="E24" t="s">
        <v>215</v>
      </c>
      <c r="F24">
        <f>F17</f>
        <v>575.94399999999996</v>
      </c>
    </row>
    <row r="26" spans="1:7" x14ac:dyDescent="0.25">
      <c r="C26" s="186"/>
    </row>
    <row r="33" spans="4:4" x14ac:dyDescent="0.25">
      <c r="D33" s="20"/>
    </row>
  </sheetData>
  <mergeCells count="4">
    <mergeCell ref="A1:C1"/>
    <mergeCell ref="A11:C11"/>
    <mergeCell ref="E11:G11"/>
    <mergeCell ref="I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Pedidos</vt:lpstr>
      <vt:lpstr>Estoque</vt:lpstr>
      <vt:lpstr>Pizzas</vt:lpstr>
      <vt:lpstr>FichaTecnica</vt:lpstr>
      <vt:lpstr>Dashboard</vt:lpstr>
      <vt:lpstr>Planilha1</vt:lpstr>
      <vt:lpstr>Planilha3</vt:lpstr>
      <vt:lpstr>Pedidos!Area_de_impressao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Sistema de Gestão de Pizzaria - Luara</dc:title>
  <dc:creator>Rogerio Zequini</dc:creator>
  <cp:lastModifiedBy>Rogerio Zequini</cp:lastModifiedBy>
  <cp:lastPrinted>2026-04-15T13:08:48Z</cp:lastPrinted>
  <dcterms:created xsi:type="dcterms:W3CDTF">2026-04-11T15:21:05Z</dcterms:created>
  <dcterms:modified xsi:type="dcterms:W3CDTF">2026-04-15T13:18:02Z</dcterms:modified>
</cp:coreProperties>
</file>