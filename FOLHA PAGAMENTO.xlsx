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faa5d86ad31129f/Documentos/PROJECTS/EXCEL/"/>
    </mc:Choice>
  </mc:AlternateContent>
  <xr:revisionPtr revIDLastSave="274" documentId="8_{4D43D298-6C32-4DB0-B260-808AAF0ABFBE}" xr6:coauthVersionLast="47" xr6:coauthVersionMax="47" xr10:uidLastSave="{028AF89F-4E58-4ADC-8D01-B4F90207E62C}"/>
  <bookViews>
    <workbookView xWindow="-120" yWindow="-120" windowWidth="29040" windowHeight="15720" xr2:uid="{00000000-000D-0000-FFFF-FFFF00000000}"/>
  </bookViews>
  <sheets>
    <sheet name="FOLHA DE PAGAMENTO" sheetId="1" r:id="rId1"/>
    <sheet name="FUNCIONARIOS " sheetId="2" r:id="rId2"/>
    <sheet name="TIPO DE EXERCIC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D11" i="1"/>
  <c r="C25" i="1"/>
  <c r="F16" i="1"/>
  <c r="G18" i="1"/>
  <c r="F17" i="1"/>
  <c r="F15" i="1"/>
  <c r="F25" i="1" s="1"/>
  <c r="E20" i="1"/>
  <c r="E19" i="1"/>
  <c r="G21" i="1"/>
  <c r="E16" i="1"/>
  <c r="E21" i="1"/>
  <c r="E18" i="1"/>
  <c r="E17" i="1"/>
  <c r="E15" i="1"/>
  <c r="B15" i="1"/>
  <c r="C16" i="1"/>
  <c r="C17" i="1"/>
  <c r="C18" i="1"/>
  <c r="C19" i="1"/>
  <c r="C20" i="1"/>
  <c r="C21" i="1"/>
  <c r="C15" i="1"/>
  <c r="B16" i="1"/>
  <c r="B17" i="1"/>
  <c r="B18" i="1"/>
  <c r="B19" i="1"/>
  <c r="B20" i="1"/>
  <c r="B21" i="1"/>
  <c r="D10" i="1"/>
  <c r="D9" i="1"/>
  <c r="B11" i="1"/>
  <c r="B9" i="1"/>
  <c r="B10" i="1"/>
  <c r="G19" i="1" l="1"/>
  <c r="G20" i="1" s="1"/>
  <c r="G25" i="1" s="1"/>
  <c r="F27" i="1" s="1"/>
</calcChain>
</file>

<file path=xl/sharedStrings.xml><?xml version="1.0" encoding="utf-8"?>
<sst xmlns="http://schemas.openxmlformats.org/spreadsheetml/2006/main" count="117" uniqueCount="88">
  <si>
    <t>Nome:</t>
  </si>
  <si>
    <t>CPF:</t>
  </si>
  <si>
    <t>Cargo:</t>
  </si>
  <si>
    <t>PERIODO:</t>
  </si>
  <si>
    <t>até</t>
  </si>
  <si>
    <t>Categoria :</t>
  </si>
  <si>
    <t>CÓDIGO</t>
  </si>
  <si>
    <t>DENOMINAÇÃO</t>
  </si>
  <si>
    <t>UNIDADE</t>
  </si>
  <si>
    <t>QUANTIDADE</t>
  </si>
  <si>
    <t>VENCIMENTOS</t>
  </si>
  <si>
    <t>DESCONTOS</t>
  </si>
  <si>
    <t xml:space="preserve">VALOR DA HORA </t>
  </si>
  <si>
    <t xml:space="preserve">TOTAL DE VENCIMENTOS </t>
  </si>
  <si>
    <t>TOTAL DE DESCONTOS</t>
  </si>
  <si>
    <t>ADICIONAL NOTURNO</t>
  </si>
  <si>
    <t xml:space="preserve">LIQUIDO A RECEBER </t>
  </si>
  <si>
    <t>Matrícula:</t>
  </si>
  <si>
    <t>RG:</t>
  </si>
  <si>
    <t>NOME</t>
  </si>
  <si>
    <t>CARGO</t>
  </si>
  <si>
    <t>CPF</t>
  </si>
  <si>
    <t>MATRICULA</t>
  </si>
  <si>
    <t>CATEGORIA</t>
  </si>
  <si>
    <t>CARLOS FONTES</t>
  </si>
  <si>
    <t xml:space="preserve">PROFESSOR ENSINO MÉDIO/TÉCNICO </t>
  </si>
  <si>
    <t>CONCURSADO</t>
  </si>
  <si>
    <t>10.000.000-1</t>
  </si>
  <si>
    <t>20.000.000-2</t>
  </si>
  <si>
    <t>50.000.000-5</t>
  </si>
  <si>
    <t>30.000.000-3</t>
  </si>
  <si>
    <t>40.000.000-4</t>
  </si>
  <si>
    <t>111.000.000-11</t>
  </si>
  <si>
    <t>DEMONSTRATIVO DE PAGAMENTO</t>
  </si>
  <si>
    <t>CENTRO EDUCACIONAL TECNOLOGICO PAULA SOUZA - CEETEPS</t>
  </si>
  <si>
    <t>GOVERNO DO ESTADO DE SÃO PAULO</t>
  </si>
  <si>
    <t>SISTEMA DE ADMINISTRAÇÃO DE PESSOAL</t>
  </si>
  <si>
    <t>222.000.000-22</t>
  </si>
  <si>
    <t>333.000.000-33</t>
  </si>
  <si>
    <t>444.000.000-44</t>
  </si>
  <si>
    <t>555.000.000-55</t>
  </si>
  <si>
    <t>ROBERTA CARVALHO</t>
  </si>
  <si>
    <t xml:space="preserve">DIRETORA ACADÊMICA </t>
  </si>
  <si>
    <t>ADMITIDO REGIME CLT</t>
  </si>
  <si>
    <t>MUGEL BARBOSA</t>
  </si>
  <si>
    <t>MARCELA COSTA</t>
  </si>
  <si>
    <t>ANDRÉ PEREIRA</t>
  </si>
  <si>
    <t>AUXILIAR DOCENTE</t>
  </si>
  <si>
    <t>DIRETOR DE SERVIÇOS</t>
  </si>
  <si>
    <t>TIPO</t>
  </si>
  <si>
    <t>HORA DE ATIVIDADE</t>
  </si>
  <si>
    <t>HORA AULA SEMANAL</t>
  </si>
  <si>
    <t>HORA AULA SEMANAL COM ADICIONAL NOTURNO</t>
  </si>
  <si>
    <t>SUBSTITUIÇÃO DE PROFESSOR</t>
  </si>
  <si>
    <t xml:space="preserve">FALTA </t>
  </si>
  <si>
    <t>INSS</t>
  </si>
  <si>
    <t>IMPOSTO DE RENDA</t>
  </si>
  <si>
    <t xml:space="preserve">CONVENIO </t>
  </si>
  <si>
    <t>PERCENTUAL</t>
  </si>
  <si>
    <t>HORA/SEMANA</t>
  </si>
  <si>
    <t>HORA</t>
  </si>
  <si>
    <t>FIXO</t>
  </si>
  <si>
    <t>COD</t>
  </si>
  <si>
    <t>RG.GERAL/DC</t>
  </si>
  <si>
    <t>É um acréscimo de no mínimo 20% sobre o valor da hora diurna</t>
  </si>
  <si>
    <t>Até R$1.621,00: 7,5%</t>
  </si>
  <si>
    <t>De R$1621,01 até R$2.902,84: 9%</t>
  </si>
  <si>
    <t>De R$2.902,85 até 4.354,27: 12%</t>
  </si>
  <si>
    <t>De R$4.354,25 até R$8.475,55 (teto): 14%</t>
  </si>
  <si>
    <t>Até R$ 2.259,20: Isento</t>
  </si>
  <si>
    <t>De R$2.259,21 até R$ 2.826,65: 7,5%</t>
  </si>
  <si>
    <t>De R$ 2.826,66 até R$3.751,05: 15%</t>
  </si>
  <si>
    <t>De R$3.751,05 até R$4.664,68: 22,5%</t>
  </si>
  <si>
    <t>Acima de R$ 4.664,68: 27,5%</t>
  </si>
  <si>
    <t>E01</t>
  </si>
  <si>
    <t>E02</t>
  </si>
  <si>
    <t>E03</t>
  </si>
  <si>
    <t>E04</t>
  </si>
  <si>
    <t>E05</t>
  </si>
  <si>
    <t>E06</t>
  </si>
  <si>
    <t>E07</t>
  </si>
  <si>
    <t>E08</t>
  </si>
  <si>
    <t>Funcionário 1</t>
  </si>
  <si>
    <t>Funcionário 2</t>
  </si>
  <si>
    <t>Funcionário 3</t>
  </si>
  <si>
    <t>Funcionário 4</t>
  </si>
  <si>
    <t>Funcionário 5</t>
  </si>
  <si>
    <t xml:space="preserve">MENSAL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</si>
</sst>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u/>
      <sz val="11"/>
      <color rgb="FF1F1F1F"/>
      <name val="Arial"/>
      <family val="2"/>
    </font>
    <font>
      <sz val="11"/>
      <color rgb="FF1F1F1F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1E4E7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6">
    <xf numFmtId="0" fontId="0" fillId="0" borderId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2" fillId="10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8" fillId="14" borderId="2" xfId="1" applyBorder="1" applyAlignment="1">
      <alignment horizontal="center" vertical="center"/>
    </xf>
    <xf numFmtId="0" fontId="8" fillId="15" borderId="2" xfId="2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" fillId="12" borderId="7" xfId="0" applyFont="1" applyFill="1" applyBorder="1" applyAlignment="1">
      <alignment horizontal="center" vertical="center"/>
    </xf>
    <xf numFmtId="0" fontId="1" fillId="16" borderId="1" xfId="3" applyFont="1" applyBorder="1" applyAlignment="1">
      <alignment horizontal="center"/>
    </xf>
    <xf numFmtId="0" fontId="1" fillId="11" borderId="2" xfId="0" applyFont="1" applyFill="1" applyBorder="1" applyAlignment="1">
      <alignment horizontal="center" vertical="center"/>
    </xf>
    <xf numFmtId="44" fontId="10" fillId="9" borderId="2" xfId="4" applyFont="1" applyFill="1" applyBorder="1" applyAlignment="1">
      <alignment horizontal="center" vertical="center"/>
    </xf>
    <xf numFmtId="44" fontId="2" fillId="9" borderId="2" xfId="4" applyFont="1" applyFill="1" applyBorder="1" applyAlignment="1">
      <alignment horizontal="center" vertical="center"/>
    </xf>
    <xf numFmtId="44" fontId="14" fillId="8" borderId="2" xfId="4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9" fontId="15" fillId="13" borderId="2" xfId="0" applyNumberFormat="1" applyFont="1" applyFill="1" applyBorder="1" applyAlignment="1">
      <alignment horizontal="center" vertical="center"/>
    </xf>
    <xf numFmtId="44" fontId="15" fillId="13" borderId="2" xfId="4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4" fontId="10" fillId="0" borderId="2" xfId="4" applyFont="1" applyBorder="1" applyAlignment="1">
      <alignment horizontal="center" vertical="center"/>
    </xf>
    <xf numFmtId="44" fontId="7" fillId="0" borderId="2" xfId="4" applyFont="1" applyBorder="1" applyAlignment="1">
      <alignment horizontal="center" vertical="center"/>
    </xf>
    <xf numFmtId="9" fontId="7" fillId="0" borderId="2" xfId="5" applyFont="1" applyBorder="1" applyAlignment="1">
      <alignment horizontal="center" vertical="center"/>
    </xf>
    <xf numFmtId="44" fontId="14" fillId="8" borderId="2" xfId="0" applyNumberFormat="1" applyFont="1" applyFill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44" fontId="14" fillId="8" borderId="4" xfId="4" applyFont="1" applyFill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4" fontId="16" fillId="4" borderId="2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</cellXfs>
  <cellStyles count="6">
    <cellStyle name="20% - Accent1" xfId="1" builtinId="30"/>
    <cellStyle name="20% - Accent3" xfId="2" builtinId="38"/>
    <cellStyle name="40% - Accent3" xfId="3" builtinId="39"/>
    <cellStyle name="Currency" xfId="4" builtinId="4"/>
    <cellStyle name="Normal" xfId="0" builtinId="0"/>
    <cellStyle name="Percent" xfId="5" builtinId="5"/>
  </cellStyles>
  <dxfs count="15">
    <dxf>
      <fill>
        <patternFill patternType="solid">
          <fgColor indexed="64"/>
          <bgColor rgb="FFFF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rgb="FFFFCC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indexed="64"/>
          <bgColor rgb="FFFFCC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</font>
      <fill>
        <patternFill patternType="solid">
          <fgColor indexed="64"/>
          <bgColor rgb="FFD8D8D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2"/>
        </bottom>
      </border>
    </dxf>
    <dxf>
      <fill>
        <patternFill patternType="solid">
          <fgColor indexed="64"/>
          <bgColor rgb="FFFFCCC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1E4E79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699"/>
      <color rgb="FFCDC2C2"/>
      <color rgb="FFFFC000"/>
      <color rgb="FFCCECFF"/>
      <color rgb="FFFFCCCC"/>
      <color rgb="FFF0F0F0"/>
      <color rgb="FFD8D8D8"/>
      <color rgb="FF1E4E7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1419225</xdr:colOff>
      <xdr:row>5</xdr:row>
      <xdr:rowOff>44108</xdr:rowOff>
    </xdr:to>
    <xdr:pic>
      <xdr:nvPicPr>
        <xdr:cNvPr id="2" name="Imagem 1" descr="Ouvidoria Geral do Governo do Estado de São Pa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14550" cy="1282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587158</xdr:colOff>
      <xdr:row>13</xdr:row>
      <xdr:rowOff>234863</xdr:rowOff>
    </xdr:from>
    <xdr:to>
      <xdr:col>13</xdr:col>
      <xdr:colOff>600206</xdr:colOff>
      <xdr:row>27</xdr:row>
      <xdr:rowOff>26096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60F3EE-4B0D-685C-21DA-BE39FAE1545D}"/>
            </a:ext>
          </a:extLst>
        </xdr:cNvPr>
        <xdr:cNvSpPr/>
      </xdr:nvSpPr>
      <xdr:spPr>
        <a:xfrm>
          <a:off x="10046918" y="3457705"/>
          <a:ext cx="3079315" cy="32619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569935</xdr:colOff>
      <xdr:row>7</xdr:row>
      <xdr:rowOff>204592</xdr:rowOff>
    </xdr:from>
    <xdr:to>
      <xdr:col>15</xdr:col>
      <xdr:colOff>495822</xdr:colOff>
      <xdr:row>11</xdr:row>
      <xdr:rowOff>130480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FA8D746-910B-4E83-9EB8-663807B3AB7B}"/>
            </a:ext>
          </a:extLst>
        </xdr:cNvPr>
        <xdr:cNvSpPr/>
      </xdr:nvSpPr>
      <xdr:spPr>
        <a:xfrm>
          <a:off x="10029695" y="1939969"/>
          <a:ext cx="4218661" cy="9175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FUNCIONARIOS" displayName="FUNCIONARIOS" ref="A1:F6" totalsRowShown="0" headerRowDxfId="14" dataDxfId="13">
  <autoFilter ref="A1:F6" xr:uid="{00000000-0009-0000-0100-000003000000}"/>
  <tableColumns count="6">
    <tableColumn id="1" xr3:uid="{00000000-0010-0000-0000-000001000000}" name="MATRICULA" dataDxfId="12"/>
    <tableColumn id="2" xr3:uid="{00000000-0010-0000-0000-000002000000}" name="NOME" dataDxfId="11"/>
    <tableColumn id="3" xr3:uid="{00000000-0010-0000-0000-000003000000}" name="CARGO" dataDxfId="10"/>
    <tableColumn id="4" xr3:uid="{00000000-0010-0000-0000-000004000000}" name="CATEGORIA" dataDxfId="9"/>
    <tableColumn id="6" xr3:uid="{00000000-0010-0000-0000-000006000000}" name="RG.GERAL/DC" dataDxfId="8"/>
    <tableColumn id="5" xr3:uid="{00000000-0010-0000-0000-000005000000}" name="CPF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P_EXERCICIO" displayName="TP_EXERCICIO" ref="A1:D9" totalsRowShown="0" headerRowDxfId="6" dataDxfId="5" tableBorderDxfId="4">
  <autoFilter ref="A1:D9" xr:uid="{00000000-0009-0000-0100-000002000000}"/>
  <tableColumns count="4">
    <tableColumn id="1" xr3:uid="{00000000-0010-0000-0100-000001000000}" name="COD" dataDxfId="3"/>
    <tableColumn id="2" xr3:uid="{00000000-0010-0000-0100-000002000000}" name="DENOMINAÇÃO" dataDxfId="2"/>
    <tableColumn id="3" xr3:uid="{00000000-0010-0000-0100-000003000000}" name="UNIDADE" dataDxfId="1"/>
    <tableColumn id="4" xr3:uid="{00000000-0010-0000-0100-000004000000}" name="TI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M31"/>
  <sheetViews>
    <sheetView showGridLines="0" tabSelected="1" topLeftCell="A7" zoomScale="130" zoomScaleNormal="130" workbookViewId="0">
      <selection activeCell="G18" sqref="G18"/>
    </sheetView>
  </sheetViews>
  <sheetFormatPr defaultRowHeight="15" x14ac:dyDescent="0.25"/>
  <cols>
    <col min="1" max="1" width="10.42578125" bestFit="1" customWidth="1"/>
    <col min="2" max="2" width="48.42578125" bestFit="1" customWidth="1"/>
    <col min="3" max="3" width="19" bestFit="1" customWidth="1"/>
    <col min="4" max="4" width="16.85546875" bestFit="1" customWidth="1"/>
    <col min="5" max="5" width="21" customWidth="1"/>
    <col min="6" max="6" width="23.140625" bestFit="1" customWidth="1"/>
    <col min="7" max="7" width="20.7109375" bestFit="1" customWidth="1"/>
  </cols>
  <sheetData>
    <row r="1" spans="1:13" ht="20.100000000000001" customHeight="1" x14ac:dyDescent="0.25">
      <c r="B1" s="1"/>
      <c r="C1" s="1"/>
      <c r="D1" s="1"/>
      <c r="E1" s="11" t="s">
        <v>33</v>
      </c>
      <c r="F1" s="1"/>
      <c r="G1" s="1"/>
      <c r="H1" s="1"/>
    </row>
    <row r="2" spans="1:13" ht="20.100000000000001" customHeight="1" x14ac:dyDescent="0.25">
      <c r="A2" s="1"/>
      <c r="B2" s="1"/>
      <c r="C2" s="1"/>
      <c r="D2" s="1"/>
      <c r="E2" s="7" t="s">
        <v>34</v>
      </c>
      <c r="F2" s="1"/>
      <c r="G2" s="1"/>
      <c r="H2" s="1"/>
    </row>
    <row r="3" spans="1:13" ht="20.100000000000001" customHeight="1" x14ac:dyDescent="0.25">
      <c r="A3" s="1"/>
      <c r="B3" s="1"/>
      <c r="C3" s="1"/>
      <c r="D3" s="1"/>
      <c r="E3" s="7" t="s">
        <v>35</v>
      </c>
      <c r="F3" s="1"/>
      <c r="G3" s="1"/>
      <c r="H3" s="1"/>
    </row>
    <row r="4" spans="1:13" ht="20.100000000000001" customHeight="1" x14ac:dyDescent="0.25">
      <c r="A4" s="1"/>
      <c r="B4" s="1"/>
      <c r="C4" s="1"/>
      <c r="D4" s="1"/>
      <c r="E4" s="7" t="s">
        <v>36</v>
      </c>
      <c r="F4" s="7"/>
      <c r="G4" s="1"/>
      <c r="H4" s="6"/>
    </row>
    <row r="5" spans="1:13" ht="20.100000000000001" customHeight="1" x14ac:dyDescent="0.25">
      <c r="A5" s="1"/>
      <c r="B5" s="1"/>
      <c r="C5" s="1"/>
      <c r="D5" s="6"/>
      <c r="E5" s="1"/>
      <c r="F5" s="1"/>
      <c r="G5" s="1"/>
      <c r="H5" s="6"/>
    </row>
    <row r="6" spans="1:13" ht="20.100000000000001" customHeight="1" x14ac:dyDescent="0.25">
      <c r="A6" s="1"/>
      <c r="B6" s="1"/>
      <c r="C6" s="1"/>
      <c r="D6" s="6"/>
      <c r="E6" s="1"/>
      <c r="F6" s="1"/>
      <c r="G6" s="1"/>
      <c r="H6" s="6"/>
      <c r="M6" s="12"/>
    </row>
    <row r="7" spans="1:13" ht="20.100000000000001" customHeight="1" x14ac:dyDescent="0.25">
      <c r="A7" s="1"/>
      <c r="B7" s="1"/>
      <c r="C7" s="1"/>
      <c r="D7" s="1"/>
      <c r="E7" s="1"/>
      <c r="F7" s="1"/>
      <c r="G7" s="1"/>
      <c r="H7" s="6"/>
    </row>
    <row r="8" spans="1:13" ht="20.100000000000001" customHeight="1" x14ac:dyDescent="0.25">
      <c r="A8" s="23" t="s">
        <v>17</v>
      </c>
      <c r="B8" s="33" t="s">
        <v>84</v>
      </c>
      <c r="D8" s="1"/>
      <c r="E8" s="1"/>
      <c r="F8" s="1"/>
      <c r="G8" s="1"/>
      <c r="H8" s="1"/>
    </row>
    <row r="9" spans="1:13" ht="20.100000000000001" customHeight="1" x14ac:dyDescent="0.25">
      <c r="A9" s="20" t="s">
        <v>0</v>
      </c>
      <c r="B9" s="30" t="str">
        <f>VLOOKUP(B8,FUNCIONARIOS[],2,FALSE)</f>
        <v>MUGEL BARBOSA</v>
      </c>
      <c r="C9" s="22" t="s">
        <v>18</v>
      </c>
      <c r="D9" s="54" t="str">
        <f>VLOOKUP('FOLHA DE PAGAMENTO'!B8,FUNCIONARIOS[],5,FALSE)</f>
        <v>30.000.000-3</v>
      </c>
      <c r="E9" s="55"/>
      <c r="F9" s="56"/>
      <c r="G9" s="2"/>
      <c r="H9" s="1"/>
      <c r="J9" s="31" t="s">
        <v>15</v>
      </c>
    </row>
    <row r="10" spans="1:13" ht="20.100000000000001" customHeight="1" x14ac:dyDescent="0.25">
      <c r="A10" s="20" t="s">
        <v>2</v>
      </c>
      <c r="B10" s="30" t="str">
        <f>VLOOKUP(B8,FUNCIONARIOS[],3,FALSE)</f>
        <v>AUXILIAR DOCENTE</v>
      </c>
      <c r="C10" s="24" t="s">
        <v>1</v>
      </c>
      <c r="D10" s="57" t="str">
        <f>VLOOKUP('FOLHA DE PAGAMENTO'!B8,FUNCIONARIOS[],6,FALSE)</f>
        <v>333.000.000-33</v>
      </c>
      <c r="E10" s="58"/>
      <c r="F10" s="59"/>
      <c r="G10" s="2"/>
      <c r="H10" s="1"/>
    </row>
    <row r="11" spans="1:13" ht="20.100000000000001" customHeight="1" x14ac:dyDescent="0.25">
      <c r="A11" s="20" t="s">
        <v>5</v>
      </c>
      <c r="B11" s="30" t="str">
        <f>VLOOKUP('FOLHA DE PAGAMENTO'!B8,FUNCIONARIOS[],4,FALSE)</f>
        <v>CONCURSADO</v>
      </c>
      <c r="C11" s="20" t="s">
        <v>3</v>
      </c>
      <c r="D11" s="49">
        <f ca="1">EOMONTH(TODAY(),-1)+1</f>
        <v>46113</v>
      </c>
      <c r="E11" s="28" t="s">
        <v>4</v>
      </c>
      <c r="F11" s="50">
        <f ca="1">EOMONTH(TODAY(),0)</f>
        <v>46142</v>
      </c>
      <c r="G11" s="3"/>
      <c r="H11" s="1"/>
      <c r="J11" s="32" t="s">
        <v>64</v>
      </c>
    </row>
    <row r="12" spans="1:13" ht="20.100000000000001" customHeight="1" x14ac:dyDescent="0.25">
      <c r="A12" s="2"/>
      <c r="B12" s="2"/>
      <c r="C12" s="2"/>
      <c r="D12" s="2"/>
      <c r="E12" s="2"/>
      <c r="F12" s="2"/>
      <c r="G12" s="2"/>
      <c r="H12" s="1"/>
    </row>
    <row r="13" spans="1:13" ht="20.100000000000001" customHeight="1" x14ac:dyDescent="0.25">
      <c r="A13" s="2"/>
      <c r="B13" s="2"/>
      <c r="C13" s="2"/>
      <c r="D13" s="2"/>
      <c r="E13" s="2"/>
      <c r="F13" s="29"/>
      <c r="G13" s="2"/>
      <c r="H13" s="1"/>
    </row>
    <row r="14" spans="1:13" ht="19.5" customHeight="1" x14ac:dyDescent="0.25">
      <c r="A14" s="15" t="s">
        <v>6</v>
      </c>
      <c r="B14" s="16" t="s">
        <v>7</v>
      </c>
      <c r="C14" s="17" t="s">
        <v>8</v>
      </c>
      <c r="D14" s="18" t="s">
        <v>9</v>
      </c>
      <c r="E14" s="16" t="s">
        <v>87</v>
      </c>
      <c r="F14" s="19" t="s">
        <v>10</v>
      </c>
      <c r="G14" s="16" t="s">
        <v>11</v>
      </c>
      <c r="H14" s="1"/>
    </row>
    <row r="15" spans="1:13" ht="20.100000000000001" customHeight="1" x14ac:dyDescent="0.25">
      <c r="A15" s="20" t="s">
        <v>75</v>
      </c>
      <c r="B15" s="30" t="str">
        <f>VLOOKUP(A15,TP_EXERCICIO[],2,FALSE)</f>
        <v>HORA AULA SEMANAL</v>
      </c>
      <c r="C15" s="30" t="str">
        <f>VLOOKUP(A15,TP_EXERCICIO[],3,FALSE)</f>
        <v>HORA/SEMANA</v>
      </c>
      <c r="D15" s="42">
        <v>30</v>
      </c>
      <c r="E15" s="39">
        <f>D15*4</f>
        <v>120</v>
      </c>
      <c r="F15" s="36">
        <f>E15*C23</f>
        <v>3600</v>
      </c>
      <c r="G15" s="21"/>
      <c r="H15" s="1"/>
      <c r="J15" s="31" t="s">
        <v>55</v>
      </c>
    </row>
    <row r="16" spans="1:13" ht="20.100000000000001" customHeight="1" x14ac:dyDescent="0.25">
      <c r="A16" s="20" t="s">
        <v>76</v>
      </c>
      <c r="B16" s="30" t="str">
        <f>VLOOKUP(A16,TP_EXERCICIO[],2,FALSE)</f>
        <v>HORA AULA SEMANAL COM ADICIONAL NOTURNO</v>
      </c>
      <c r="C16" s="30" t="str">
        <f>VLOOKUP(A16,TP_EXERCICIO[],3,FALSE)</f>
        <v>HORA/SEMANA</v>
      </c>
      <c r="D16" s="42">
        <v>14</v>
      </c>
      <c r="E16" s="39">
        <f>D16*4</f>
        <v>56</v>
      </c>
      <c r="F16" s="36">
        <f>E16*C23*C24</f>
        <v>840</v>
      </c>
      <c r="G16" s="21"/>
      <c r="H16" s="1"/>
      <c r="J16" s="32" t="s">
        <v>65</v>
      </c>
    </row>
    <row r="17" spans="1:13" ht="20.100000000000001" customHeight="1" x14ac:dyDescent="0.25">
      <c r="A17" s="20" t="s">
        <v>77</v>
      </c>
      <c r="B17" s="30" t="str">
        <f>VLOOKUP(A17,TP_EXERCICIO[],2,FALSE)</f>
        <v>SUBSTITUIÇÃO DE PROFESSOR</v>
      </c>
      <c r="C17" s="30" t="str">
        <f>VLOOKUP(A17,TP_EXERCICIO[],3,FALSE)</f>
        <v>HORA</v>
      </c>
      <c r="D17" s="42">
        <v>2</v>
      </c>
      <c r="E17" s="39">
        <f>D17</f>
        <v>2</v>
      </c>
      <c r="F17" s="36">
        <f>E17*C23</f>
        <v>60</v>
      </c>
      <c r="G17" s="14"/>
      <c r="H17" s="1"/>
      <c r="J17" s="32" t="s">
        <v>66</v>
      </c>
    </row>
    <row r="18" spans="1:13" ht="20.100000000000001" customHeight="1" x14ac:dyDescent="0.25">
      <c r="A18" s="20" t="s">
        <v>78</v>
      </c>
      <c r="B18" s="30" t="str">
        <f>VLOOKUP(A18,TP_EXERCICIO[],2,FALSE)</f>
        <v xml:space="preserve">FALTA </v>
      </c>
      <c r="C18" s="30" t="str">
        <f>VLOOKUP(A18,TP_EXERCICIO[],3,FALSE)</f>
        <v>HORA</v>
      </c>
      <c r="D18" s="42">
        <v>2</v>
      </c>
      <c r="E18" s="39">
        <f>D18</f>
        <v>2</v>
      </c>
      <c r="F18" s="37"/>
      <c r="G18" s="38">
        <f>E18*C23</f>
        <v>60</v>
      </c>
      <c r="H18" s="1"/>
      <c r="J18" s="32" t="s">
        <v>67</v>
      </c>
    </row>
    <row r="19" spans="1:13" ht="20.100000000000001" customHeight="1" x14ac:dyDescent="0.25">
      <c r="A19" s="20" t="s">
        <v>79</v>
      </c>
      <c r="B19" s="30" t="str">
        <f>VLOOKUP(A19,TP_EXERCICIO[],2,FALSE)</f>
        <v>INSS</v>
      </c>
      <c r="C19" s="30" t="str">
        <f>VLOOKUP(A19,TP_EXERCICIO[],3,FALSE)</f>
        <v>PERCENTUAL</v>
      </c>
      <c r="D19" s="47">
        <v>0.12</v>
      </c>
      <c r="E19" s="40">
        <f>D19</f>
        <v>0.12</v>
      </c>
      <c r="F19" s="37"/>
      <c r="G19" s="48">
        <f>F25*E19</f>
        <v>540</v>
      </c>
      <c r="H19" s="1"/>
      <c r="J19" s="32" t="s">
        <v>68</v>
      </c>
      <c r="M19" s="12"/>
    </row>
    <row r="20" spans="1:13" ht="20.100000000000001" customHeight="1" x14ac:dyDescent="0.25">
      <c r="A20" s="20" t="s">
        <v>80</v>
      </c>
      <c r="B20" s="30" t="str">
        <f>VLOOKUP(A20,TP_EXERCICIO[],2,FALSE)</f>
        <v>IMPOSTO DE RENDA</v>
      </c>
      <c r="C20" s="30" t="str">
        <f>VLOOKUP(A20,TP_EXERCICIO[],3,FALSE)</f>
        <v>PERCENTUAL</v>
      </c>
      <c r="D20" s="47">
        <v>0.23</v>
      </c>
      <c r="E20" s="40">
        <f>D20</f>
        <v>0.23</v>
      </c>
      <c r="F20" s="37"/>
      <c r="G20" s="48">
        <f>(F25-G19)*E20</f>
        <v>910.80000000000007</v>
      </c>
      <c r="H20" s="1"/>
    </row>
    <row r="21" spans="1:13" ht="20.100000000000001" customHeight="1" x14ac:dyDescent="0.25">
      <c r="A21" s="20" t="s">
        <v>81</v>
      </c>
      <c r="B21" s="30" t="str">
        <f>VLOOKUP(A21,TP_EXERCICIO[],2,FALSE)</f>
        <v xml:space="preserve">CONVENIO </v>
      </c>
      <c r="C21" s="30" t="str">
        <f>VLOOKUP(A21,TP_EXERCICIO[],3,FALSE)</f>
        <v>FIXO</v>
      </c>
      <c r="D21" s="42">
        <v>120</v>
      </c>
      <c r="E21" s="41">
        <f>D21</f>
        <v>120</v>
      </c>
      <c r="F21" s="37"/>
      <c r="G21" s="46">
        <f>E21</f>
        <v>120</v>
      </c>
      <c r="H21" s="1"/>
    </row>
    <row r="22" spans="1:13" ht="20.100000000000001" customHeight="1" x14ac:dyDescent="0.25">
      <c r="A22" s="2"/>
      <c r="B22" s="2"/>
      <c r="C22" s="2"/>
      <c r="D22" s="2"/>
      <c r="E22" s="2"/>
      <c r="F22" s="2"/>
      <c r="G22" s="2"/>
      <c r="H22" s="1"/>
      <c r="J22" s="31" t="s">
        <v>56</v>
      </c>
      <c r="K22" s="12"/>
    </row>
    <row r="23" spans="1:13" ht="20.100000000000001" customHeight="1" x14ac:dyDescent="0.25">
      <c r="A23" s="2"/>
      <c r="B23" s="20" t="s">
        <v>12</v>
      </c>
      <c r="C23" s="44">
        <v>30</v>
      </c>
      <c r="D23" s="2"/>
      <c r="E23" s="3"/>
      <c r="F23" s="61" t="s">
        <v>13</v>
      </c>
      <c r="G23" s="61" t="s">
        <v>14</v>
      </c>
      <c r="H23" s="1"/>
      <c r="J23" s="32" t="s">
        <v>69</v>
      </c>
    </row>
    <row r="24" spans="1:13" ht="20.100000000000001" customHeight="1" x14ac:dyDescent="0.25">
      <c r="A24" s="10"/>
      <c r="B24" s="60" t="s">
        <v>15</v>
      </c>
      <c r="C24" s="45">
        <v>0.5</v>
      </c>
      <c r="D24" s="2"/>
      <c r="E24" s="2"/>
      <c r="F24" s="61"/>
      <c r="G24" s="61"/>
      <c r="H24" s="1"/>
      <c r="J24" s="32" t="s">
        <v>70</v>
      </c>
    </row>
    <row r="25" spans="1:13" ht="20.100000000000001" customHeight="1" x14ac:dyDescent="0.25">
      <c r="A25" s="2"/>
      <c r="B25" s="60"/>
      <c r="C25" s="43">
        <f>C24*C23</f>
        <v>15</v>
      </c>
      <c r="D25" s="2"/>
      <c r="E25" s="2"/>
      <c r="F25" s="36">
        <f>SUM(F15:F21)</f>
        <v>4500</v>
      </c>
      <c r="G25" s="38">
        <f>SUM(G15:G21)</f>
        <v>1630.8000000000002</v>
      </c>
      <c r="H25" s="1"/>
      <c r="J25" s="32" t="s">
        <v>71</v>
      </c>
    </row>
    <row r="26" spans="1:13" ht="20.100000000000001" customHeight="1" x14ac:dyDescent="0.25">
      <c r="A26" s="1"/>
      <c r="B26" s="1"/>
      <c r="C26" s="1"/>
      <c r="D26" s="1"/>
      <c r="E26" s="1"/>
      <c r="F26" s="51" t="s">
        <v>16</v>
      </c>
      <c r="G26" s="51"/>
      <c r="H26" s="1"/>
      <c r="J26" s="32" t="s">
        <v>72</v>
      </c>
    </row>
    <row r="27" spans="1:13" ht="20.100000000000001" customHeight="1" x14ac:dyDescent="0.25">
      <c r="A27" s="9"/>
      <c r="B27" s="1"/>
      <c r="C27" s="1"/>
      <c r="D27" s="1"/>
      <c r="E27" s="1"/>
      <c r="F27" s="52">
        <f>F25-G25</f>
        <v>2869.2</v>
      </c>
      <c r="G27" s="53"/>
      <c r="H27" s="1"/>
      <c r="J27" s="32" t="s">
        <v>73</v>
      </c>
    </row>
    <row r="28" spans="1:13" ht="20.100000000000001" customHeight="1" x14ac:dyDescent="0.25">
      <c r="A28" s="1"/>
      <c r="B28" s="1"/>
      <c r="C28" s="1"/>
      <c r="D28" s="1"/>
      <c r="E28" s="1"/>
      <c r="F28" s="1"/>
      <c r="G28" s="1"/>
      <c r="H28" s="1"/>
    </row>
    <row r="31" spans="1:13" x14ac:dyDescent="0.25">
      <c r="A31" s="8"/>
    </row>
  </sheetData>
  <mergeCells count="7">
    <mergeCell ref="F26:G26"/>
    <mergeCell ref="F27:G27"/>
    <mergeCell ref="D9:F9"/>
    <mergeCell ref="D10:F10"/>
    <mergeCell ref="B24:B25"/>
    <mergeCell ref="F23:F24"/>
    <mergeCell ref="G23:G24"/>
  </mergeCells>
  <phoneticPr fontId="13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F6"/>
  <sheetViews>
    <sheetView showGridLines="0" zoomScale="145" zoomScaleNormal="14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6"/>
    </sheetView>
  </sheetViews>
  <sheetFormatPr defaultRowHeight="15" x14ac:dyDescent="0.25"/>
  <cols>
    <col min="1" max="1" width="15.85546875" style="4" bestFit="1" customWidth="1"/>
    <col min="2" max="2" width="19.5703125" style="4" bestFit="1" customWidth="1"/>
    <col min="3" max="3" width="34.85546875" style="4" bestFit="1" customWidth="1"/>
    <col min="4" max="4" width="38.85546875" style="4" bestFit="1" customWidth="1"/>
    <col min="5" max="5" width="19.85546875" style="4" bestFit="1" customWidth="1"/>
    <col min="6" max="6" width="14.28515625" style="4" bestFit="1" customWidth="1"/>
    <col min="7" max="7" width="4.28515625" style="4" bestFit="1" customWidth="1"/>
    <col min="8" max="16384" width="9.140625" style="4"/>
  </cols>
  <sheetData>
    <row r="1" spans="1:6" x14ac:dyDescent="0.25">
      <c r="A1" s="5" t="s">
        <v>22</v>
      </c>
      <c r="B1" s="5" t="s">
        <v>19</v>
      </c>
      <c r="C1" s="5" t="s">
        <v>20</v>
      </c>
      <c r="D1" s="5" t="s">
        <v>23</v>
      </c>
      <c r="E1" s="5" t="s">
        <v>63</v>
      </c>
      <c r="F1" s="5" t="s">
        <v>21</v>
      </c>
    </row>
    <row r="2" spans="1:6" x14ac:dyDescent="0.25">
      <c r="A2" s="34" t="s">
        <v>82</v>
      </c>
      <c r="B2" s="27" t="s">
        <v>24</v>
      </c>
      <c r="C2" s="27" t="s">
        <v>25</v>
      </c>
      <c r="D2" s="27" t="s">
        <v>26</v>
      </c>
      <c r="E2" s="27" t="s">
        <v>27</v>
      </c>
      <c r="F2" s="27" t="s">
        <v>32</v>
      </c>
    </row>
    <row r="3" spans="1:6" x14ac:dyDescent="0.25">
      <c r="A3" s="34" t="s">
        <v>83</v>
      </c>
      <c r="B3" s="27" t="s">
        <v>41</v>
      </c>
      <c r="C3" s="27" t="s">
        <v>42</v>
      </c>
      <c r="D3" s="27" t="s">
        <v>43</v>
      </c>
      <c r="E3" s="27" t="s">
        <v>28</v>
      </c>
      <c r="F3" s="27" t="s">
        <v>37</v>
      </c>
    </row>
    <row r="4" spans="1:6" x14ac:dyDescent="0.25">
      <c r="A4" s="34" t="s">
        <v>84</v>
      </c>
      <c r="B4" s="27" t="s">
        <v>44</v>
      </c>
      <c r="C4" s="27" t="s">
        <v>47</v>
      </c>
      <c r="D4" s="27" t="s">
        <v>26</v>
      </c>
      <c r="E4" s="27" t="s">
        <v>30</v>
      </c>
      <c r="F4" s="27" t="s">
        <v>38</v>
      </c>
    </row>
    <row r="5" spans="1:6" x14ac:dyDescent="0.25">
      <c r="A5" s="34" t="s">
        <v>85</v>
      </c>
      <c r="B5" s="27" t="s">
        <v>45</v>
      </c>
      <c r="C5" s="27" t="s">
        <v>25</v>
      </c>
      <c r="D5" s="27" t="s">
        <v>43</v>
      </c>
      <c r="E5" s="27" t="s">
        <v>31</v>
      </c>
      <c r="F5" s="27" t="s">
        <v>39</v>
      </c>
    </row>
    <row r="6" spans="1:6" x14ac:dyDescent="0.25">
      <c r="A6" s="34" t="s">
        <v>86</v>
      </c>
      <c r="B6" s="27" t="s">
        <v>46</v>
      </c>
      <c r="C6" s="27" t="s">
        <v>48</v>
      </c>
      <c r="D6" s="27" t="s">
        <v>26</v>
      </c>
      <c r="E6" s="27" t="s">
        <v>29</v>
      </c>
      <c r="F6" s="27" t="s">
        <v>40</v>
      </c>
    </row>
  </sheetData>
  <phoneticPr fontId="1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D15"/>
  <sheetViews>
    <sheetView showGridLines="0" zoomScale="160" zoomScaleNormal="16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9" sqref="A2:A9"/>
    </sheetView>
  </sheetViews>
  <sheetFormatPr defaultRowHeight="15" x14ac:dyDescent="0.25"/>
  <cols>
    <col min="1" max="1" width="9.42578125" style="1" customWidth="1"/>
    <col min="2" max="2" width="46" style="1" bestFit="1" customWidth="1"/>
    <col min="3" max="3" width="14.85546875" style="1" bestFit="1" customWidth="1"/>
    <col min="4" max="4" width="14.140625" style="1" bestFit="1" customWidth="1"/>
  </cols>
  <sheetData>
    <row r="1" spans="1:4" x14ac:dyDescent="0.25">
      <c r="A1" s="13" t="s">
        <v>62</v>
      </c>
      <c r="B1" s="13" t="s">
        <v>7</v>
      </c>
      <c r="C1" s="13" t="s">
        <v>8</v>
      </c>
      <c r="D1" s="13" t="s">
        <v>49</v>
      </c>
    </row>
    <row r="2" spans="1:4" x14ac:dyDescent="0.25">
      <c r="A2" s="35" t="s">
        <v>74</v>
      </c>
      <c r="B2" s="26" t="s">
        <v>50</v>
      </c>
      <c r="C2" s="26" t="s">
        <v>58</v>
      </c>
      <c r="D2" s="26" t="s">
        <v>10</v>
      </c>
    </row>
    <row r="3" spans="1:4" x14ac:dyDescent="0.25">
      <c r="A3" s="35" t="s">
        <v>75</v>
      </c>
      <c r="B3" s="26" t="s">
        <v>51</v>
      </c>
      <c r="C3" s="26" t="s">
        <v>59</v>
      </c>
      <c r="D3" s="26" t="s">
        <v>10</v>
      </c>
    </row>
    <row r="4" spans="1:4" x14ac:dyDescent="0.25">
      <c r="A4" s="35" t="s">
        <v>76</v>
      </c>
      <c r="B4" s="26" t="s">
        <v>52</v>
      </c>
      <c r="C4" s="26" t="s">
        <v>59</v>
      </c>
      <c r="D4" s="26" t="s">
        <v>10</v>
      </c>
    </row>
    <row r="5" spans="1:4" x14ac:dyDescent="0.25">
      <c r="A5" s="35" t="s">
        <v>77</v>
      </c>
      <c r="B5" s="26" t="s">
        <v>53</v>
      </c>
      <c r="C5" s="26" t="s">
        <v>60</v>
      </c>
      <c r="D5" s="26" t="s">
        <v>10</v>
      </c>
    </row>
    <row r="6" spans="1:4" x14ac:dyDescent="0.25">
      <c r="A6" s="35" t="s">
        <v>78</v>
      </c>
      <c r="B6" s="25" t="s">
        <v>54</v>
      </c>
      <c r="C6" s="25" t="s">
        <v>60</v>
      </c>
      <c r="D6" s="25" t="s">
        <v>11</v>
      </c>
    </row>
    <row r="7" spans="1:4" x14ac:dyDescent="0.25">
      <c r="A7" s="35" t="s">
        <v>79</v>
      </c>
      <c r="B7" s="25" t="s">
        <v>55</v>
      </c>
      <c r="C7" s="25" t="s">
        <v>58</v>
      </c>
      <c r="D7" s="25" t="s">
        <v>11</v>
      </c>
    </row>
    <row r="8" spans="1:4" x14ac:dyDescent="0.25">
      <c r="A8" s="35" t="s">
        <v>80</v>
      </c>
      <c r="B8" s="25" t="s">
        <v>56</v>
      </c>
      <c r="C8" s="25" t="s">
        <v>58</v>
      </c>
      <c r="D8" s="25" t="s">
        <v>11</v>
      </c>
    </row>
    <row r="9" spans="1:4" x14ac:dyDescent="0.25">
      <c r="A9" s="35" t="s">
        <v>81</v>
      </c>
      <c r="B9" s="25" t="s">
        <v>57</v>
      </c>
      <c r="C9" s="25" t="s">
        <v>61</v>
      </c>
      <c r="D9" s="25" t="s">
        <v>11</v>
      </c>
    </row>
    <row r="15" spans="1:4" x14ac:dyDescent="0.25">
      <c r="C15" s="6"/>
    </row>
  </sheetData>
  <phoneticPr fontId="1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FOLHA DE PAGAMENTO</vt:lpstr>
      <vt:lpstr>FUNCIONARIOS </vt:lpstr>
      <vt:lpstr>TIPO DE EXERCICIO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Laboratórios - Fatec Mauá</dc:creator>
  <cp:lastModifiedBy>Rogerio Zequini</cp:lastModifiedBy>
  <dcterms:created xsi:type="dcterms:W3CDTF">2026-03-09T21:24:58Z</dcterms:created>
  <dcterms:modified xsi:type="dcterms:W3CDTF">2026-04-01T19:03:40Z</dcterms:modified>
</cp:coreProperties>
</file>