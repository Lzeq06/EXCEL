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d.docs.live.net/cfaa5d86ad31129f/Documentos/"/>
    </mc:Choice>
  </mc:AlternateContent>
  <xr:revisionPtr revIDLastSave="218" documentId="8_{8B122884-C705-4E35-A0C3-73892BEE4956}" xr6:coauthVersionLast="47" xr6:coauthVersionMax="47" xr10:uidLastSave="{75405A59-5D10-4760-B844-AA289A255A06}"/>
  <bookViews>
    <workbookView xWindow="-120" yWindow="-120" windowWidth="20730" windowHeight="11040" xr2:uid="{40027F36-561D-4FF0-85AC-EEA60687A5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E23" i="1"/>
  <c r="F23" i="1"/>
  <c r="D23" i="1"/>
  <c r="E22" i="1"/>
  <c r="F22" i="1"/>
  <c r="D22" i="1"/>
  <c r="F21" i="1"/>
  <c r="E21" i="1"/>
  <c r="D21" i="1"/>
  <c r="F20" i="1"/>
  <c r="D20" i="1"/>
  <c r="E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</calcChain>
</file>

<file path=xl/sharedStrings.xml><?xml version="1.0" encoding="utf-8"?>
<sst xmlns="http://schemas.openxmlformats.org/spreadsheetml/2006/main" count="47" uniqueCount="47">
  <si>
    <t>CONTROLE DE PRODUTOS</t>
  </si>
  <si>
    <t>CÓDIGO DO PRODUTO</t>
  </si>
  <si>
    <t>PRODUTO</t>
  </si>
  <si>
    <t>ESTOQUE</t>
  </si>
  <si>
    <t>PREÇO CUSTO</t>
  </si>
  <si>
    <t>PREÇO VENDA</t>
  </si>
  <si>
    <t>LUCRO (UNIDADE)</t>
  </si>
  <si>
    <t>LUCRO ESTOQUE</t>
  </si>
  <si>
    <t>DATA DE VALIDADE</t>
  </si>
  <si>
    <t xml:space="preserve">DIAS PARA VENCER </t>
  </si>
  <si>
    <t xml:space="preserve">SITUAÇÃO </t>
  </si>
  <si>
    <t>Produto 1</t>
  </si>
  <si>
    <t>SAL</t>
  </si>
  <si>
    <t>Produto 2</t>
  </si>
  <si>
    <t>AÇUCAR</t>
  </si>
  <si>
    <t>Produto 3</t>
  </si>
  <si>
    <t>PIMENTA</t>
  </si>
  <si>
    <t>Produto 4</t>
  </si>
  <si>
    <t>ÓLEO</t>
  </si>
  <si>
    <t>Produto 5</t>
  </si>
  <si>
    <t>FERMENTO</t>
  </si>
  <si>
    <t>Produto 6</t>
  </si>
  <si>
    <t>ERVILHA</t>
  </si>
  <si>
    <t>Produto 7</t>
  </si>
  <si>
    <t>MILHO</t>
  </si>
  <si>
    <t>Produto 8</t>
  </si>
  <si>
    <t>ADOÇANTE</t>
  </si>
  <si>
    <t>Produto 9</t>
  </si>
  <si>
    <t>SUCO</t>
  </si>
  <si>
    <t>Produto 10</t>
  </si>
  <si>
    <t>IOGURTE</t>
  </si>
  <si>
    <t>Produto 11</t>
  </si>
  <si>
    <t>ORÉGANO</t>
  </si>
  <si>
    <t>Produto 12</t>
  </si>
  <si>
    <t>FARINHA</t>
  </si>
  <si>
    <t>Produto 13</t>
  </si>
  <si>
    <t>LEITE</t>
  </si>
  <si>
    <t>Produto 14</t>
  </si>
  <si>
    <t>OVO</t>
  </si>
  <si>
    <t>Produto 15</t>
  </si>
  <si>
    <t>BOLACHA</t>
  </si>
  <si>
    <t xml:space="preserve">TOTAL </t>
  </si>
  <si>
    <t>DATA (HOJE)</t>
  </si>
  <si>
    <t>MÉDIA</t>
  </si>
  <si>
    <t>PERCENTUAL DE LUCRO</t>
  </si>
  <si>
    <t>MÁXIMO</t>
  </si>
  <si>
    <t>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</si>
</sst>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3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R$-416]\ * #,##0.00_-;\-[$R$-416]\ * #,##0.00_-;_-[$R$-416]\ * &quot;-&quot;??_-;_-@_-"/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R$-416]\ * #,##0.00_-;\-[$R$-416]\ * #,##0.00_-;_-[$R$-416]\ * &quot;-&quot;??_-;_-@_-"/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R$-416]\ * #,##0.00_-;\-[$R$-416]\ * #,##0.00_-;_-[$R$-416]\ * &quot;-&quot;??_-;_-@_-"/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CC99"/>
      <color rgb="FFF4A366"/>
      <color rgb="FFF78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CA6979-F511-45B0-AB36-5D46E1F8235F}" name="CONTROLE­_PRODUTOS" displayName="CONTROLE­_PRODUTOS" ref="D2:J17" totalsRowShown="0" headerRowDxfId="8" dataDxfId="7">
  <autoFilter ref="D2:J17" xr:uid="{DBCA6979-F511-45B0-AB36-5D46E1F8235F}"/>
  <tableColumns count="7">
    <tableColumn id="1" xr3:uid="{962F3F7A-40CE-44F1-B5DC-0CD997BA456C}" name="PREÇO CUSTO" dataDxfId="6"/>
    <tableColumn id="2" xr3:uid="{156AAB65-4DCB-46DB-90D8-FACEF5FC1A5A}" name="PREÇO VENDA" dataDxfId="5">
      <calculatedColumnFormula>CONTROLE­_PRODUTOS[[#This Row],[PREÇO CUSTO]]*1.5</calculatedColumnFormula>
    </tableColumn>
    <tableColumn id="3" xr3:uid="{688EF611-E27A-40D0-986A-0FDE7860C200}" name="LUCRO (UNIDADE)" dataDxfId="4">
      <calculatedColumnFormula>CONTROLE­_PRODUTOS[[#This Row],[PREÇO VENDA]]-CONTROLE­_PRODUTOS[[#This Row],[PREÇO CUSTO]]</calculatedColumnFormula>
    </tableColumn>
    <tableColumn id="4" xr3:uid="{F6D2B7C7-DF7D-4F3F-94DC-B43C80B7B51B}" name="LUCRO ESTOQUE" dataDxfId="3">
      <calculatedColumnFormula>CONTROLE­_PRODUTOS[[#This Row],[LUCRO (UNIDADE)]]*C3</calculatedColumnFormula>
    </tableColumn>
    <tableColumn id="5" xr3:uid="{66DE677D-E179-4CBB-BE00-25C66158B9E1}" name="DATA DE VALIDADE" dataDxfId="2"/>
    <tableColumn id="6" xr3:uid="{E084C8DA-54C6-4AAD-8B47-8F228C852926}" name="DIAS PARA VENCER " dataDxfId="1">
      <calculatedColumnFormula>CONTROLE­_PRODUTOS[[#This Row],[DATA DE VALIDADE]]-DATE(2026,6,1)</calculatedColumnFormula>
    </tableColumn>
    <tableColumn id="7" xr3:uid="{CE0F9228-8E39-487B-8EFD-8790EFA2899D}" name="SITUAÇÃO " dataDxfId="0">
      <calculatedColumnFormula>IF(I3&lt;0,"VENCIDO",IF(AND(C3&gt;10,I3&lt;30),"OFERECER DESCONTO","REGULAR"))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A406-F7B0-433E-A7B2-DEEDD9BDCB84}">
  <dimension ref="A1:J23"/>
  <sheetViews>
    <sheetView tabSelected="1" zoomScale="97" zoomScaleNormal="97" workbookViewId="0">
      <pane xSplit="1" ySplit="2" topLeftCell="B3" activePane="bottomRight" state="frozen"/>
      <selection pane="bottomRight" activeCell="B3" sqref="B3"/>
      <selection pane="bottomLeft" activeCell="A3" sqref="A3"/>
      <selection pane="topRight" activeCell="B1" sqref="B1"/>
    </sheetView>
  </sheetViews>
  <sheetFormatPr defaultRowHeight="15"/>
  <cols>
    <col min="1" max="1" width="12" bestFit="1" customWidth="1"/>
    <col min="2" max="2" width="10.5703125" bestFit="1" customWidth="1"/>
    <col min="3" max="3" width="9.5703125" bestFit="1" customWidth="1"/>
    <col min="4" max="5" width="18.85546875" bestFit="1" customWidth="1"/>
    <col min="6" max="6" width="22.5703125" bestFit="1" customWidth="1"/>
    <col min="7" max="7" width="21.140625" bestFit="1" customWidth="1"/>
    <col min="8" max="8" width="23" bestFit="1" customWidth="1"/>
    <col min="9" max="9" width="23.28515625" bestFit="1" customWidth="1"/>
    <col min="10" max="10" width="20.42578125" bestFit="1" customWidth="1"/>
  </cols>
  <sheetData>
    <row r="1" spans="1:10" ht="30.7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0" t="s">
        <v>11</v>
      </c>
      <c r="B3" s="10" t="s">
        <v>12</v>
      </c>
      <c r="C3" s="2">
        <v>50</v>
      </c>
      <c r="D3" s="4">
        <v>0.5</v>
      </c>
      <c r="E3" s="6">
        <f>CONTROLE­_PRODUTOS[[#This Row],[PREÇO CUSTO]]*1.5</f>
        <v>0.75</v>
      </c>
      <c r="F3" s="6">
        <f>CONTROLE­_PRODUTOS[[#This Row],[PREÇO VENDA]]-CONTROLE­_PRODUTOS[[#This Row],[PREÇO CUSTO]]</f>
        <v>0.25</v>
      </c>
      <c r="G3" s="6">
        <f>CONTROLE­_PRODUTOS[[#This Row],[LUCRO (UNIDADE)]]*C3</f>
        <v>12.5</v>
      </c>
      <c r="H3" s="3">
        <v>46179</v>
      </c>
      <c r="I3" s="7">
        <f>CONTROLE­_PRODUTOS[[#This Row],[DATA DE VALIDADE]]-DATE(2026,6,1)</f>
        <v>5</v>
      </c>
      <c r="J3" s="2" t="str">
        <f t="shared" ref="J3:J17" si="0">IF(I3&lt;0,"VENCIDO",IF(AND(C3&gt;10,I3&lt;30),"OFERECER DESCONTO","REGULAR"))</f>
        <v>OFERECER DESCONTO</v>
      </c>
    </row>
    <row r="4" spans="1:10">
      <c r="A4" s="10" t="s">
        <v>13</v>
      </c>
      <c r="B4" s="10" t="s">
        <v>14</v>
      </c>
      <c r="C4" s="2">
        <v>20</v>
      </c>
      <c r="D4" s="4">
        <v>3</v>
      </c>
      <c r="E4" s="6">
        <f>CONTROLE­_PRODUTOS[[#This Row],[PREÇO CUSTO]]*1.5</f>
        <v>4.5</v>
      </c>
      <c r="F4" s="6">
        <f>CONTROLE­_PRODUTOS[[#This Row],[PREÇO VENDA]]-CONTROLE­_PRODUTOS[[#This Row],[PREÇO CUSTO]]</f>
        <v>1.5</v>
      </c>
      <c r="G4" s="6">
        <f>CONTROLE­_PRODUTOS[[#This Row],[LUCRO (UNIDADE)]]*C4</f>
        <v>30</v>
      </c>
      <c r="H4" s="3">
        <v>46241</v>
      </c>
      <c r="I4" s="7">
        <f>CONTROLE­_PRODUTOS[[#This Row],[DATA DE VALIDADE]]-DATE(2026,6,1)</f>
        <v>67</v>
      </c>
      <c r="J4" s="2" t="str">
        <f t="shared" si="0"/>
        <v>REGULAR</v>
      </c>
    </row>
    <row r="5" spans="1:10">
      <c r="A5" s="10" t="s">
        <v>15</v>
      </c>
      <c r="B5" s="10" t="s">
        <v>16</v>
      </c>
      <c r="C5" s="2">
        <v>18</v>
      </c>
      <c r="D5" s="4">
        <v>1</v>
      </c>
      <c r="E5" s="6">
        <f>CONTROLE­_PRODUTOS[[#This Row],[PREÇO CUSTO]]*1.5</f>
        <v>1.5</v>
      </c>
      <c r="F5" s="6">
        <f>CONTROLE­_PRODUTOS[[#This Row],[PREÇO VENDA]]-CONTROLE­_PRODUTOS[[#This Row],[PREÇO CUSTO]]</f>
        <v>0.5</v>
      </c>
      <c r="G5" s="6">
        <f>CONTROLE­_PRODUTOS[[#This Row],[LUCRO (UNIDADE)]]*C5</f>
        <v>9</v>
      </c>
      <c r="H5" s="3">
        <v>46147</v>
      </c>
      <c r="I5" s="7">
        <f>CONTROLE­_PRODUTOS[[#This Row],[DATA DE VALIDADE]]-DATE(2026,6,1)</f>
        <v>-27</v>
      </c>
      <c r="J5" s="2" t="str">
        <f t="shared" si="0"/>
        <v>VENCIDO</v>
      </c>
    </row>
    <row r="6" spans="1:10">
      <c r="A6" s="10" t="s">
        <v>17</v>
      </c>
      <c r="B6" s="10" t="s">
        <v>18</v>
      </c>
      <c r="C6" s="2">
        <v>19</v>
      </c>
      <c r="D6" s="4">
        <v>2.8</v>
      </c>
      <c r="E6" s="6">
        <f>CONTROLE­_PRODUTOS[[#This Row],[PREÇO CUSTO]]*1.5</f>
        <v>4.1999999999999993</v>
      </c>
      <c r="F6" s="6">
        <f>CONTROLE­_PRODUTOS[[#This Row],[PREÇO VENDA]]-CONTROLE­_PRODUTOS[[#This Row],[PREÇO CUSTO]]</f>
        <v>1.3999999999999995</v>
      </c>
      <c r="G6" s="6">
        <f>CONTROLE­_PRODUTOS[[#This Row],[LUCRO (UNIDADE)]]*C6</f>
        <v>26.599999999999991</v>
      </c>
      <c r="H6" s="3">
        <v>46262</v>
      </c>
      <c r="I6" s="7">
        <f>CONTROLE­_PRODUTOS[[#This Row],[DATA DE VALIDADE]]-DATE(2026,6,1)</f>
        <v>88</v>
      </c>
      <c r="J6" s="2" t="str">
        <f t="shared" si="0"/>
        <v>REGULAR</v>
      </c>
    </row>
    <row r="7" spans="1:10">
      <c r="A7" s="10" t="s">
        <v>19</v>
      </c>
      <c r="B7" s="10" t="s">
        <v>20</v>
      </c>
      <c r="C7" s="2">
        <v>14</v>
      </c>
      <c r="D7" s="4">
        <v>2.4</v>
      </c>
      <c r="E7" s="6">
        <f>CONTROLE­_PRODUTOS[[#This Row],[PREÇO CUSTO]]*1.5</f>
        <v>3.5999999999999996</v>
      </c>
      <c r="F7" s="6">
        <f>CONTROLE­_PRODUTOS[[#This Row],[PREÇO VENDA]]-CONTROLE­_PRODUTOS[[#This Row],[PREÇO CUSTO]]</f>
        <v>1.1999999999999997</v>
      </c>
      <c r="G7" s="6">
        <f>CONTROLE­_PRODUTOS[[#This Row],[LUCRO (UNIDADE)]]*C7</f>
        <v>16.799999999999997</v>
      </c>
      <c r="H7" s="3">
        <v>46233</v>
      </c>
      <c r="I7" s="7">
        <f>CONTROLE­_PRODUTOS[[#This Row],[DATA DE VALIDADE]]-DATE(2026,6,1)</f>
        <v>59</v>
      </c>
      <c r="J7" s="2" t="str">
        <f t="shared" si="0"/>
        <v>REGULAR</v>
      </c>
    </row>
    <row r="8" spans="1:10">
      <c r="A8" s="10" t="s">
        <v>21</v>
      </c>
      <c r="B8" s="10" t="s">
        <v>22</v>
      </c>
      <c r="C8" s="2">
        <v>13</v>
      </c>
      <c r="D8" s="4">
        <v>1.8</v>
      </c>
      <c r="E8" s="6">
        <f>CONTROLE­_PRODUTOS[[#This Row],[PREÇO CUSTO]]*1.5</f>
        <v>2.7</v>
      </c>
      <c r="F8" s="6">
        <f>CONTROLE­_PRODUTOS[[#This Row],[PREÇO VENDA]]-CONTROLE­_PRODUTOS[[#This Row],[PREÇO CUSTO]]</f>
        <v>0.90000000000000013</v>
      </c>
      <c r="G8" s="6">
        <f>CONTROLE­_PRODUTOS[[#This Row],[LUCRO (UNIDADE)]]*C8</f>
        <v>11.700000000000001</v>
      </c>
      <c r="H8" s="3">
        <v>46330</v>
      </c>
      <c r="I8" s="7">
        <f>CONTROLE­_PRODUTOS[[#This Row],[DATA DE VALIDADE]]-DATE(2026,6,1)</f>
        <v>156</v>
      </c>
      <c r="J8" s="2" t="str">
        <f t="shared" si="0"/>
        <v>REGULAR</v>
      </c>
    </row>
    <row r="9" spans="1:10">
      <c r="A9" s="10" t="s">
        <v>23</v>
      </c>
      <c r="B9" s="10" t="s">
        <v>24</v>
      </c>
      <c r="C9" s="2">
        <v>11</v>
      </c>
      <c r="D9" s="4">
        <v>1.5</v>
      </c>
      <c r="E9" s="6">
        <f>CONTROLE­_PRODUTOS[[#This Row],[PREÇO CUSTO]]*1.5</f>
        <v>2.25</v>
      </c>
      <c r="F9" s="6">
        <f>CONTROLE­_PRODUTOS[[#This Row],[PREÇO VENDA]]-CONTROLE­_PRODUTOS[[#This Row],[PREÇO CUSTO]]</f>
        <v>0.75</v>
      </c>
      <c r="G9" s="6">
        <f>CONTROLE­_PRODUTOS[[#This Row],[LUCRO (UNIDADE)]]*C9</f>
        <v>8.25</v>
      </c>
      <c r="H9" s="3">
        <v>46382</v>
      </c>
      <c r="I9" s="7">
        <f>CONTROLE­_PRODUTOS[[#This Row],[DATA DE VALIDADE]]-DATE(2026,6,1)</f>
        <v>208</v>
      </c>
      <c r="J9" s="2" t="str">
        <f t="shared" si="0"/>
        <v>REGULAR</v>
      </c>
    </row>
    <row r="10" spans="1:10">
      <c r="A10" s="10" t="s">
        <v>25</v>
      </c>
      <c r="B10" s="10" t="s">
        <v>26</v>
      </c>
      <c r="C10" s="2">
        <v>5</v>
      </c>
      <c r="D10" s="4">
        <v>2</v>
      </c>
      <c r="E10" s="6">
        <f>CONTROLE­_PRODUTOS[[#This Row],[PREÇO CUSTO]]*1.5</f>
        <v>3</v>
      </c>
      <c r="F10" s="6">
        <f>CONTROLE­_PRODUTOS[[#This Row],[PREÇO VENDA]]-CONTROLE­_PRODUTOS[[#This Row],[PREÇO CUSTO]]</f>
        <v>1</v>
      </c>
      <c r="G10" s="6">
        <f>CONTROLE­_PRODUTOS[[#This Row],[LUCRO (UNIDADE)]]*C10</f>
        <v>5</v>
      </c>
      <c r="H10" s="3">
        <v>46055</v>
      </c>
      <c r="I10" s="7">
        <f>CONTROLE­_PRODUTOS[[#This Row],[DATA DE VALIDADE]]-DATE(2026,6,1)</f>
        <v>-119</v>
      </c>
      <c r="J10" s="2" t="str">
        <f t="shared" si="0"/>
        <v>VENCIDO</v>
      </c>
    </row>
    <row r="11" spans="1:10">
      <c r="A11" s="10" t="s">
        <v>27</v>
      </c>
      <c r="B11" s="10" t="s">
        <v>28</v>
      </c>
      <c r="C11" s="2">
        <v>21</v>
      </c>
      <c r="D11" s="4">
        <v>0.79</v>
      </c>
      <c r="E11" s="6">
        <f>CONTROLE­_PRODUTOS[[#This Row],[PREÇO CUSTO]]*1.5</f>
        <v>1.1850000000000001</v>
      </c>
      <c r="F11" s="6">
        <f>CONTROLE­_PRODUTOS[[#This Row],[PREÇO VENDA]]-CONTROLE­_PRODUTOS[[#This Row],[PREÇO CUSTO]]</f>
        <v>0.39500000000000002</v>
      </c>
      <c r="G11" s="6">
        <f>CONTROLE­_PRODUTOS[[#This Row],[LUCRO (UNIDADE)]]*C11</f>
        <v>8.2949999999999999</v>
      </c>
      <c r="H11" s="3">
        <v>46183</v>
      </c>
      <c r="I11" s="7">
        <f>CONTROLE­_PRODUTOS[[#This Row],[DATA DE VALIDADE]]-DATE(2026,6,1)</f>
        <v>9</v>
      </c>
      <c r="J11" s="2" t="str">
        <f t="shared" si="0"/>
        <v>OFERECER DESCONTO</v>
      </c>
    </row>
    <row r="12" spans="1:10">
      <c r="A12" s="10" t="s">
        <v>29</v>
      </c>
      <c r="B12" s="10" t="s">
        <v>30</v>
      </c>
      <c r="C12" s="2">
        <v>22</v>
      </c>
      <c r="D12" s="4">
        <v>0.9</v>
      </c>
      <c r="E12" s="6">
        <f>CONTROLE­_PRODUTOS[[#This Row],[PREÇO CUSTO]]*1.5</f>
        <v>1.35</v>
      </c>
      <c r="F12" s="6">
        <f>CONTROLE­_PRODUTOS[[#This Row],[PREÇO VENDA]]-CONTROLE­_PRODUTOS[[#This Row],[PREÇO CUSTO]]</f>
        <v>0.45000000000000007</v>
      </c>
      <c r="G12" s="6">
        <f>CONTROLE­_PRODUTOS[[#This Row],[LUCRO (UNIDADE)]]*C12</f>
        <v>9.9000000000000021</v>
      </c>
      <c r="H12" s="3">
        <v>46023</v>
      </c>
      <c r="I12" s="7">
        <f>CONTROLE­_PRODUTOS[[#This Row],[DATA DE VALIDADE]]-DATE(2026,6,1)</f>
        <v>-151</v>
      </c>
      <c r="J12" s="2" t="str">
        <f t="shared" si="0"/>
        <v>VENCIDO</v>
      </c>
    </row>
    <row r="13" spans="1:10">
      <c r="A13" s="10" t="s">
        <v>31</v>
      </c>
      <c r="B13" s="10" t="s">
        <v>32</v>
      </c>
      <c r="C13" s="2">
        <v>4</v>
      </c>
      <c r="D13" s="4">
        <v>0.95</v>
      </c>
      <c r="E13" s="6">
        <f>CONTROLE­_PRODUTOS[[#This Row],[PREÇO CUSTO]]*1.5</f>
        <v>1.4249999999999998</v>
      </c>
      <c r="F13" s="6">
        <f>CONTROLE­_PRODUTOS[[#This Row],[PREÇO VENDA]]-CONTROLE­_PRODUTOS[[#This Row],[PREÇO CUSTO]]</f>
        <v>0.47499999999999987</v>
      </c>
      <c r="G13" s="6">
        <f>CONTROLE­_PRODUTOS[[#This Row],[LUCRO (UNIDADE)]]*C13</f>
        <v>1.8999999999999995</v>
      </c>
      <c r="H13" s="3">
        <v>46144</v>
      </c>
      <c r="I13" s="7">
        <f>CONTROLE­_PRODUTOS[[#This Row],[DATA DE VALIDADE]]-DATE(2026,6,1)</f>
        <v>-30</v>
      </c>
      <c r="J13" s="2" t="str">
        <f t="shared" si="0"/>
        <v>VENCIDO</v>
      </c>
    </row>
    <row r="14" spans="1:10">
      <c r="A14" s="10" t="s">
        <v>33</v>
      </c>
      <c r="B14" s="10" t="s">
        <v>34</v>
      </c>
      <c r="C14" s="2">
        <v>18</v>
      </c>
      <c r="D14" s="4">
        <v>2</v>
      </c>
      <c r="E14" s="6">
        <f>CONTROLE­_PRODUTOS[[#This Row],[PREÇO CUSTO]]*1.5</f>
        <v>3</v>
      </c>
      <c r="F14" s="6">
        <f>CONTROLE­_PRODUTOS[[#This Row],[PREÇO VENDA]]-CONTROLE­_PRODUTOS[[#This Row],[PREÇO CUSTO]]</f>
        <v>1</v>
      </c>
      <c r="G14" s="6">
        <f>CONTROLE­_PRODUTOS[[#This Row],[LUCRO (UNIDADE)]]*C14</f>
        <v>18</v>
      </c>
      <c r="H14" s="3">
        <v>46310</v>
      </c>
      <c r="I14" s="7">
        <f>CONTROLE­_PRODUTOS[[#This Row],[DATA DE VALIDADE]]-DATE(2026,6,1)</f>
        <v>136</v>
      </c>
      <c r="J14" s="2" t="str">
        <f t="shared" si="0"/>
        <v>REGULAR</v>
      </c>
    </row>
    <row r="15" spans="1:10">
      <c r="A15" s="10" t="s">
        <v>35</v>
      </c>
      <c r="B15" s="10" t="s">
        <v>36</v>
      </c>
      <c r="C15" s="2">
        <v>20</v>
      </c>
      <c r="D15" s="4">
        <v>1.8</v>
      </c>
      <c r="E15" s="6">
        <f>CONTROLE­_PRODUTOS[[#This Row],[PREÇO CUSTO]]*1.5</f>
        <v>2.7</v>
      </c>
      <c r="F15" s="6">
        <f>CONTROLE­_PRODUTOS[[#This Row],[PREÇO VENDA]]-CONTROLE­_PRODUTOS[[#This Row],[PREÇO CUSTO]]</f>
        <v>0.90000000000000013</v>
      </c>
      <c r="G15" s="6">
        <f>CONTROLE­_PRODUTOS[[#This Row],[LUCRO (UNIDADE)]]*C15</f>
        <v>18.000000000000004</v>
      </c>
      <c r="H15" s="3">
        <v>46191</v>
      </c>
      <c r="I15" s="7">
        <f>CONTROLE­_PRODUTOS[[#This Row],[DATA DE VALIDADE]]-DATE(2026,6,1)</f>
        <v>17</v>
      </c>
      <c r="J15" s="2" t="str">
        <f t="shared" si="0"/>
        <v>OFERECER DESCONTO</v>
      </c>
    </row>
    <row r="16" spans="1:10">
      <c r="A16" s="10" t="s">
        <v>37</v>
      </c>
      <c r="B16" s="10" t="s">
        <v>38</v>
      </c>
      <c r="C16" s="2">
        <v>15</v>
      </c>
      <c r="D16" s="4">
        <v>2.5</v>
      </c>
      <c r="E16" s="6">
        <f>CONTROLE­_PRODUTOS[[#This Row],[PREÇO CUSTO]]*1.5</f>
        <v>3.75</v>
      </c>
      <c r="F16" s="6">
        <f>CONTROLE­_PRODUTOS[[#This Row],[PREÇO VENDA]]-CONTROLE­_PRODUTOS[[#This Row],[PREÇO CUSTO]]</f>
        <v>1.25</v>
      </c>
      <c r="G16" s="6">
        <f>CONTROLE­_PRODUTOS[[#This Row],[LUCRO (UNIDADE)]]*C16</f>
        <v>18.75</v>
      </c>
      <c r="H16" s="3">
        <v>46193</v>
      </c>
      <c r="I16" s="7">
        <f>CONTROLE­_PRODUTOS[[#This Row],[DATA DE VALIDADE]]-DATE(2026,6,1)</f>
        <v>19</v>
      </c>
      <c r="J16" s="2" t="str">
        <f t="shared" si="0"/>
        <v>OFERECER DESCONTO</v>
      </c>
    </row>
    <row r="17" spans="1:10">
      <c r="A17" s="10" t="s">
        <v>39</v>
      </c>
      <c r="B17" s="10" t="s">
        <v>40</v>
      </c>
      <c r="C17" s="2">
        <v>16</v>
      </c>
      <c r="D17" s="4">
        <v>1.8</v>
      </c>
      <c r="E17" s="6">
        <f>CONTROLE­_PRODUTOS[[#This Row],[PREÇO CUSTO]]*1.5</f>
        <v>2.7</v>
      </c>
      <c r="F17" s="6">
        <f>CONTROLE­_PRODUTOS[[#This Row],[PREÇO VENDA]]-CONTROLE­_PRODUTOS[[#This Row],[PREÇO CUSTO]]</f>
        <v>0.90000000000000013</v>
      </c>
      <c r="G17" s="6">
        <f>CONTROLE­_PRODUTOS[[#This Row],[LUCRO (UNIDADE)]]*C17</f>
        <v>14.400000000000002</v>
      </c>
      <c r="H17" s="3">
        <v>46225</v>
      </c>
      <c r="I17" s="7">
        <f>CONTROLE­_PRODUTOS[[#This Row],[DATA DE VALIDADE]]-DATE(2026,6,1)</f>
        <v>51</v>
      </c>
      <c r="J17" s="2" t="str">
        <f t="shared" si="0"/>
        <v>REGULAR</v>
      </c>
    </row>
    <row r="20" spans="1:10">
      <c r="C20" s="10" t="s">
        <v>41</v>
      </c>
      <c r="D20" s="5">
        <f>SUM(CONTROLE­_PRODUTOS[PREÇO VENDA])</f>
        <v>38.610000000000007</v>
      </c>
      <c r="E20" s="5">
        <f>SUM(CONTROLE­_PRODUTOS[LUCRO (UNIDADE)])</f>
        <v>12.87</v>
      </c>
      <c r="F20" s="5">
        <f>SUM(CONTROLE­_PRODUTOS[LUCRO ESTOQUE])</f>
        <v>209.095</v>
      </c>
      <c r="I20" s="10" t="s">
        <v>42</v>
      </c>
      <c r="J20" s="8">
        <v>46174</v>
      </c>
    </row>
    <row r="21" spans="1:10">
      <c r="C21" s="10" t="s">
        <v>43</v>
      </c>
      <c r="D21" s="5">
        <f>AVERAGE(CONTROLE­_PRODUTOS[PREÇO VENDA])</f>
        <v>2.5740000000000003</v>
      </c>
      <c r="E21" s="5">
        <f>AVERAGE(CONTROLE­_PRODUTOS[LUCRO (UNIDADE)])</f>
        <v>0.85799999999999998</v>
      </c>
      <c r="F21" s="5">
        <f>AVERAGE(CONTROLE­_PRODUTOS[LUCRO ESTOQUE])</f>
        <v>13.939666666666666</v>
      </c>
      <c r="I21" s="10" t="s">
        <v>44</v>
      </c>
      <c r="J21" s="9">
        <v>0.5</v>
      </c>
    </row>
    <row r="22" spans="1:10">
      <c r="C22" s="10" t="s">
        <v>45</v>
      </c>
      <c r="D22" s="5">
        <f>MAX(CONTROLE­_PRODUTOS[PREÇO VENDA])</f>
        <v>4.5</v>
      </c>
      <c r="E22" s="5">
        <f>MAX(CONTROLE­_PRODUTOS[LUCRO (UNIDADE)])</f>
        <v>1.5</v>
      </c>
      <c r="F22" s="5">
        <f>MAX(CONTROLE­_PRODUTOS[LUCRO ESTOQUE])</f>
        <v>30</v>
      </c>
    </row>
    <row r="23" spans="1:10">
      <c r="C23" s="10" t="s">
        <v>46</v>
      </c>
      <c r="D23" s="5">
        <f>MIN(CONTROLE­_PRODUTOS[PREÇO VENDA])</f>
        <v>0.75</v>
      </c>
      <c r="E23" s="5">
        <f>MIN(CONTROLE­_PRODUTOS[LUCRO (UNIDADE)])</f>
        <v>0.25</v>
      </c>
      <c r="F23" s="5">
        <f>MIN(CONTROLE­_PRODUTOS[LUCRO ESTOQUE])</f>
        <v>1.8999999999999995</v>
      </c>
    </row>
  </sheetData>
  <mergeCells count="1">
    <mergeCell ref="A1:J1"/>
  </mergeCells>
  <phoneticPr fontId="4" type="noConversion"/>
  <conditionalFormatting sqref="J3:J17">
    <cfRule type="cellIs" dxfId="12" priority="1" operator="equal">
      <formula>"REGULAR"</formula>
    </cfRule>
    <cfRule type="cellIs" dxfId="11" priority="2" operator="equal">
      <formula>"REGULAR "</formula>
    </cfRule>
    <cfRule type="cellIs" dxfId="10" priority="3" operator="equal">
      <formula>"VENCIDO"</formula>
    </cfRule>
    <cfRule type="cellIs" dxfId="9" priority="4" operator="equal">
      <formula>"OFERECER DESCONTO"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Rogerio Zequini</dc:creator>
  <cp:keywords/>
  <dc:description/>
  <cp:lastModifiedBy>Rogerio Zequini</cp:lastModifiedBy>
  <cp:revision/>
  <dcterms:created xsi:type="dcterms:W3CDTF">2026-03-23T21:08:43Z</dcterms:created>
  <dcterms:modified xsi:type="dcterms:W3CDTF">2026-03-28T11:05:59Z</dcterms:modified>
  <cp:category/>
  <cp:contentStatus/>
</cp:coreProperties>
</file>